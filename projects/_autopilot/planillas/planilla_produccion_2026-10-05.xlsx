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lendario" sheetId="2" state="visible" r:id="rId4"/>
    <sheet name="Producción" sheetId="3" state="visible" r:id="rId5"/>
    <sheet name="Seguimiento" sheetId="4" state="visible" r:id="rId6"/>
    <sheet name="Reglas" sheetId="5" state="visible" r:id="rId7"/>
  </sheets>
  <definedNames>
    <definedName function="false" hidden="true" localSheetId="1" name="_xlnm._FilterDatabase" vbProcedure="false">'Calendario'!$A$4:$Q$40</definedName>
    <definedName function="false" hidden="true" localSheetId="2" name="_xlnm._FilterDatabase" vbProcedure="false">'Producción'!$A$4:$S$16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Hora de pared de Ciudad de México (UTC-6 todo el año). El script de subida usa esta columna.</t>
        </r>
      </text>
    </comment>
    <comment ref="I4" authorId="0">
      <text>
        <r>
          <rPr>
            <sz val="10"/>
            <rFont val="Arial"/>
            <family val="2"/>
          </rPr>
          <t xml:space="preserve">Horas entre esta publicación y la anterior en la misma plataforma. Mínimo: Reglas!C11.</t>
        </r>
      </text>
    </comment>
    <comment ref="J4" authorId="0">
      <text>
        <r>
          <rPr>
            <sz val="10"/>
            <rFont val="Arial"/>
            <family val="2"/>
          </rPr>
          <t xml:space="preserve">Horas desde el estreno del mismo episodio en TikTok. Reels: Reglas!C12–C13; Shorts: Reglas!C14–C15.</t>
        </r>
      </text>
    </comment>
    <comment ref="K4" authorId="0">
      <text>
        <r>
          <rPr>
            <sz val="10"/>
            <rFont val="Arial"/>
            <family val="2"/>
          </rPr>
          <t xml:space="preserve">OK si se cumplen la separación mínima y la ventana después de TikTok; si no, Revisar.</t>
        </r>
      </text>
    </comment>
    <comment ref="L4" authorId="0">
      <text>
        <r>
          <rPr>
            <sz val="10"/>
            <rFont val="Arial"/>
            <family val="2"/>
          </rPr>
          <t xml:space="preserve">UTC-5 todo el año (+1 h respecto a CDMX).</t>
        </r>
      </text>
    </comment>
    <comment ref="M4" authorId="0">
      <text>
        <r>
          <rPr>
            <sz val="10"/>
            <rFont val="Arial"/>
            <family val="2"/>
          </rPr>
          <t xml:space="preserve">UTC-3 (+3 h). Santiago de Chile coincide de septiembre a abril (horario de verano).</t>
        </r>
      </text>
    </comment>
    <comment ref="N4" authorId="0">
      <text>
        <r>
          <rPr>
            <sz val="10"/>
            <rFont val="Arial"/>
            <family val="2"/>
          </rPr>
          <t xml:space="preserve">España: +8 h en horario de verano y +7 h desde el último domingo de octubre (cambio a las 19:00 CDMX del sábado).</t>
        </r>
      </text>
    </comment>
    <comment ref="O4" authorId="0">
      <text>
        <r>
          <rPr>
            <sz val="10"/>
            <rFont val="Arial"/>
            <family val="2"/>
          </rPr>
          <t xml:space="preserve">Pendiente → Aprobado (video final revisado) → Publicado. Omitido = no se publica.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Duración real del prototipo (voz de borrador) o estimada por el autopiloto. Objetivo: 61–90 s en TikTok.</t>
        </r>
      </text>
    </comment>
    <comment ref="J4" authorId="0">
      <text>
        <r>
          <rPr>
            <sz val="10"/>
            <rFont val="Arial"/>
            <family val="2"/>
          </rPr>
          <t xml:space="preserve">Fórmula: fecha del TikTok de este episodio en Calendario.</t>
        </r>
      </text>
    </comment>
    <comment ref="P4" authorId="0">
      <text>
        <r>
          <rPr>
            <sz val="10"/>
            <rFont val="Arial"/>
            <family val="2"/>
          </rPr>
          <t xml:space="preserve">Sugerido → Guion listo → Prototipo listo → Guion aprobado → Voces grabadas → Video final listo → Aprobado → Publicado.</t>
        </r>
      </text>
    </comment>
    <comment ref="S4" authorId="0">
      <text>
        <r>
          <rPr>
            <sz val="10"/>
            <rFont val="Arial"/>
            <family val="2"/>
          </rPr>
          <t xml:space="preserve">Fórmula auxiliar: posición del Estado en el flujo (99 = descartado o vacío). Usada por el formato condicional.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TikTok: % de visualización completa. YouTube: % visto frente a deslizado (objetivo ≥ 70 %). Instagram: tasa de visualización completa si está disponible.</t>
        </r>
      </text>
    </comment>
    <comment ref="N4" authorId="0">
      <text>
        <r>
          <rPr>
            <sz val="10"/>
            <rFont val="Arial"/>
            <family val="2"/>
          </rPr>
          <t xml:space="preserve">Solo TikTok (Analíticas &gt; Fuentes de tráfico &gt; Búsqueda).</t>
        </r>
      </text>
    </comment>
    <comment ref="O4" authorId="0">
      <text>
        <r>
          <rPr>
            <sz val="10"/>
            <rFont val="Arial"/>
            <family val="2"/>
          </rPr>
          <t xml:space="preserve">Fórmula: (me gusta + comentarios + compartidos + guardados) / vistas 48 h.</t>
        </r>
      </text>
    </comment>
  </commentList>
</comments>
</file>

<file path=xl/sharedStrings.xml><?xml version="1.0" encoding="utf-8"?>
<sst xmlns="http://schemas.openxmlformats.org/spreadsheetml/2006/main" count="470" uniqueCount="183">
  <si>
    <t xml:space="preserve">Planilla de producción — @tetociencia</t>
  </si>
  <si>
    <t xml:space="preserve">Semanas del 2026-10-06 al 2026-11-04 · 3 videos por semana · TikTok, Instagram Reels y YouTube Shorts · hora de CDMX (UTC-6, sin horario de verano)</t>
  </si>
  <si>
    <t xml:space="preserve">Generada con npm run planilla el 2026-10-02 a partir de projects/_autopilot/history.json y docs/10_DISTRIBUCION.md (§2.3 calendario, §4 validación).</t>
  </si>
  <si>
    <t xml:space="preserve">Cómo usarla</t>
  </si>
  <si>
    <t xml:space="preserve">1. Celdas amarillas = se editan a mano. Celdas grises = fórmulas (se recalculan solas).</t>
  </si>
  <si>
    <t xml:space="preserve">2. Calendario: una fila por publicación. Si mueves una fecha, la columna Regla avisa si se rompe la separación entre videos.</t>
  </si>
  <si>
    <t xml:space="preserve">3. Estado = Aprobado autoriza al script de subida (npm run upload -- --due) a publicar esa fila a su hora; luego marca Publicado y pega el enlace.</t>
  </si>
  <si>
    <t xml:space="preserve">4. Producción: plazos de cada episodio calculados hacia atrás desde su estreno en TikTok; en rojo los vencidos.</t>
  </si>
  <si>
    <t xml:space="preserve">5. Seguimiento: anota las métricas a la 1 h y a las 48 h de cada publicación (docs/10 §4).</t>
  </si>
  <si>
    <t xml:space="preserve">6. Reglas: semana tipo, separaciones y plazos. Si cambias un parámetro, todo se recalcula.</t>
  </si>
  <si>
    <t xml:space="preserve">Estado del plan</t>
  </si>
  <si>
    <t xml:space="preserve">Publicaciones planificadas</t>
  </si>
  <si>
    <t xml:space="preserve">Aprobadas para subir</t>
  </si>
  <si>
    <t xml:space="preserve">Publicadas</t>
  </si>
  <si>
    <t xml:space="preserve">Avisos de separación (Regla = Revisar)</t>
  </si>
  <si>
    <t xml:space="preserve">Episodios en el plan</t>
  </si>
  <si>
    <t xml:space="preserve">Episodios con video final listo o aprobado</t>
  </si>
  <si>
    <t xml:space="preserve">Semana tipo (hora CDMX)</t>
  </si>
  <si>
    <t xml:space="preserve">Bloque</t>
  </si>
  <si>
    <t xml:space="preserve">TikTok (estreno)</t>
  </si>
  <si>
    <t xml:space="preserve">Instagram Reels (+1 día)</t>
  </si>
  <si>
    <t xml:space="preserve">YouTube Shorts (+2–3 días)</t>
  </si>
  <si>
    <t xml:space="preserve">A</t>
  </si>
  <si>
    <t xml:space="preserve">mar 19:30</t>
  </si>
  <si>
    <t xml:space="preserve">mié 13:00</t>
  </si>
  <si>
    <t xml:space="preserve">vie 17:00</t>
  </si>
  <si>
    <t xml:space="preserve">B</t>
  </si>
  <si>
    <t xml:space="preserve">jue 19:30</t>
  </si>
  <si>
    <t xml:space="preserve">vie 13:00</t>
  </si>
  <si>
    <t xml:space="preserve">sáb 17:00</t>
  </si>
  <si>
    <t xml:space="preserve">C</t>
  </si>
  <si>
    <t xml:space="preserve">dom 10:30</t>
  </si>
  <si>
    <t xml:space="preserve">lun 13:00 (semana sig.)</t>
  </si>
  <si>
    <t xml:space="preserve">mié 17:00 (semana sig.)</t>
  </si>
  <si>
    <t xml:space="preserve">Prueba A/B desde la semana 3: TikTok de los bloques A y B a las 13:00 (docs/10 §4.2).</t>
  </si>
  <si>
    <t xml:space="preserve">Noticias de menos de 48 h: publicar en las tres plataformas en cuanto el video esté aprobado (excepción de actualidad, docs/10 §2.3).</t>
  </si>
  <si>
    <t xml:space="preserve">Calendario de publicación (hora CDMX)</t>
  </si>
  <si>
    <t xml:space="preserve">TikTok primero; Reels al día siguiente; Shorts 2–3 días después; nunca dos videos en menos de 24 h en la misma plataforma.</t>
  </si>
  <si>
    <t xml:space="preserve">Amarillo = editable (fecha, estado, enlace, notas). Gris = fórmula. Estado «Aprobado» = el script de subida puede publicar la fila a su hora.</t>
  </si>
  <si>
    <t xml:space="preserve">Semana</t>
  </si>
  <si>
    <t xml:space="preserve">Fecha y hora (CDMX)</t>
  </si>
  <si>
    <t xml:space="preserve">Día</t>
  </si>
  <si>
    <t xml:space="preserve">Plataforma</t>
  </si>
  <si>
    <t xml:space="preserve">Episodio</t>
  </si>
  <si>
    <t xml:space="preserve">Título</t>
  </si>
  <si>
    <t xml:space="preserve">Tipo</t>
  </si>
  <si>
    <t xml:space="preserve">Horas desde el video anterior (misma plataforma)</t>
  </si>
  <si>
    <t xml:space="preserve">Horas desde el estreno en TikTok</t>
  </si>
  <si>
    <t xml:space="preserve">Regla</t>
  </si>
  <si>
    <t xml:space="preserve">Bogotá / Lima</t>
  </si>
  <si>
    <t xml:space="preserve">Buenos Aires</t>
  </si>
  <si>
    <t xml:space="preserve">Madrid</t>
  </si>
  <si>
    <t xml:space="preserve">Estado</t>
  </si>
  <si>
    <t xml:space="preserve">Enlace</t>
  </si>
  <si>
    <t xml:space="preserve">Notas</t>
  </si>
  <si>
    <t xml:space="preserve">TikTok</t>
  </si>
  <si>
    <t xml:space="preserve">ep_20261001_openai_openai_cancelo_gpt_6_1_as</t>
  </si>
  <si>
    <t xml:space="preserve">OpenAI canceló GPT-6.1 Astra por seguridad</t>
  </si>
  <si>
    <t xml:space="preserve">Noticia</t>
  </si>
  <si>
    <t xml:space="preserve">Pendiente</t>
  </si>
  <si>
    <t xml:space="preserve">Noticia: si el video está aprobado antes, publicar ya en las tres plataformas.</t>
  </si>
  <si>
    <t xml:space="preserve">Instagram Reels</t>
  </si>
  <si>
    <t xml:space="preserve">ep_20261001_github_agentes_de_ia_filtraron_1</t>
  </si>
  <si>
    <t xml:space="preserve">Agentes de IA filtraron 13.000 capturas en GitHub</t>
  </si>
  <si>
    <t xml:space="preserve">YouTube Shorts</t>
  </si>
  <si>
    <t xml:space="preserve">ep_20261001_meta_la_ia_de_meta_dio_la_direcc</t>
  </si>
  <si>
    <t xml:space="preserve">La IA de Meta dio la dirección de un vendedor</t>
  </si>
  <si>
    <t xml:space="preserve">ep_20261002_alphago</t>
  </si>
  <si>
    <t xml:space="preserve">AlphaGo vs Lee Sedol</t>
  </si>
  <si>
    <t xml:space="preserve">Evergreen</t>
  </si>
  <si>
    <t xml:space="preserve">ep_20261002_crowdstrike_2024</t>
  </si>
  <si>
    <t xml:space="preserve">La caída de CrowdStrike</t>
  </si>
  <si>
    <t xml:space="preserve">ep_20261002_open_weights</t>
  </si>
  <si>
    <t xml:space="preserve">Modelos abiertos vs cerrados</t>
  </si>
  <si>
    <t xml:space="preserve">ep_20261015_deep_blue</t>
  </si>
  <si>
    <t xml:space="preserve">Deep Blue vs Kaspárov (prueba A/B 13:00)</t>
  </si>
  <si>
    <t xml:space="preserve">Sugerido</t>
  </si>
  <si>
    <t xml:space="preserve">Deep Blue vs Kaspárov</t>
  </si>
  <si>
    <t xml:space="preserve">ep_20261015_mars_climate_orbiter</t>
  </si>
  <si>
    <t xml:space="preserve">La sonda perdida por las unidades (prueba A/B 13:00)</t>
  </si>
  <si>
    <t xml:space="preserve">La sonda perdida por las unidades</t>
  </si>
  <si>
    <t xml:space="preserve">ep_20261015_context_window</t>
  </si>
  <si>
    <t xml:space="preserve">La ventana de contexto</t>
  </si>
  <si>
    <t xml:space="preserve">ep_20261022_vocaloid_tech</t>
  </si>
  <si>
    <t xml:space="preserve">¿Miku es una IA? (prueba A/B 13:00)</t>
  </si>
  <si>
    <t xml:space="preserve">¿Miku es una IA?</t>
  </si>
  <si>
    <t xml:space="preserve">ep_20261022_docker</t>
  </si>
  <si>
    <t xml:space="preserve">Docker y los contenedores (prueba A/B 13:00)</t>
  </si>
  <si>
    <t xml:space="preserve">Docker y los contenedores</t>
  </si>
  <si>
    <t xml:space="preserve">ep_20261022_left_pad</t>
  </si>
  <si>
    <t xml:space="preserve">El caso left-pad</t>
  </si>
  <si>
    <t xml:space="preserve">Producción por episodio: plazos hacia atrás desde el estreno en TikTok</t>
  </si>
  <si>
    <t xml:space="preserve">Los plazos usan los días de Reglas (C18–C22). En rojo: plazo vencido sin llegar a esa etapa.</t>
  </si>
  <si>
    <t xml:space="preserve">Flujo: guion (revisión humana) → prototipo de baja resolución → voces Fish Audio → render final + QA → aprobación → publicación.</t>
  </si>
  <si>
    <t xml:space="preserve">Formato</t>
  </si>
  <si>
    <t xml:space="preserve">Elenco</t>
  </si>
  <si>
    <t xml:space="preserve">Escenario</t>
  </si>
  <si>
    <t xml:space="preserve">Duración (s)</t>
  </si>
  <si>
    <t xml:space="preserve">Estreno TikTok</t>
  </si>
  <si>
    <t xml:space="preserve">Guion aprobado</t>
  </si>
  <si>
    <t xml:space="preserve">Voces (Fish Audio)</t>
  </si>
  <si>
    <t xml:space="preserve">Render final + QA</t>
  </si>
  <si>
    <t xml:space="preserve">Aprobación final</t>
  </si>
  <si>
    <t xml:space="preserve">Métricas 48 h</t>
  </si>
  <si>
    <t xml:space="preserve">Prototipo / video</t>
  </si>
  <si>
    <t xml:space="preserve">Etapa</t>
  </si>
  <si>
    <t xml:space="preserve">news_explainer</t>
  </si>
  <si>
    <t xml:space="preserve">miku, luka</t>
  </si>
  <si>
    <t xml:space="preserve">Video final listo</t>
  </si>
  <si>
    <t xml:space="preserve">Rótulo: OpenAI canceló su nueva IA: ¿por qué?</t>
  </si>
  <si>
    <t xml:space="preserve">controversy_story</t>
  </si>
  <si>
    <t xml:space="preserve">teto, miku, neru (cameo)</t>
  </si>
  <si>
    <t xml:space="preserve">oficina</t>
  </si>
  <si>
    <t xml:space="preserve">Prototipo listo</t>
  </si>
  <si>
    <t xml:space="preserve">output/ep_20261001_github_agentes_de_ia_filtraron_1/preview.mp4</t>
  </si>
  <si>
    <t xml:space="preserve">Rótulo: GitHub: agentes de IA filtraron capturas</t>
  </si>
  <si>
    <t xml:space="preserve">myth_vs_fact</t>
  </si>
  <si>
    <t xml:space="preserve">teto, luka</t>
  </si>
  <si>
    <t xml:space="preserve">konbini</t>
  </si>
  <si>
    <t xml:space="preserve">output/ep_20261001_meta_la_ia_de_meta_dio_la_direcc/preview.mp4</t>
  </si>
  <si>
    <t xml:space="preserve">Rótulo: Meta: su IA dio la dirección de un vendedor</t>
  </si>
  <si>
    <t xml:space="preserve">parque</t>
  </si>
  <si>
    <t xml:space="preserve">output/ep_20261002_alphago/preview.mp4</t>
  </si>
  <si>
    <t xml:space="preserve">Rótulo: AlphaGo: la IA que venció al campeón de Go</t>
  </si>
  <si>
    <t xml:space="preserve">luka, teto</t>
  </si>
  <si>
    <t xml:space="preserve">servidores</t>
  </si>
  <si>
    <t xml:space="preserve">output/ep_20261002_crowdstrike_2024/preview.mp4</t>
  </si>
  <si>
    <t xml:space="preserve">Rótulo: CrowdStrike: el fallo que tumbó aeropuertos</t>
  </si>
  <si>
    <t xml:space="preserve">miku, teto, neru (cameo)</t>
  </si>
  <si>
    <t xml:space="preserve">habitacion</t>
  </si>
  <si>
    <t xml:space="preserve">output/ep_20261002_open_weights/preview.mp4</t>
  </si>
  <si>
    <t xml:space="preserve">Rótulo: ¿IA abierta o cerrada? Cuál es la diferencia</t>
  </si>
  <si>
    <t xml:space="preserve">Escribir con: npm run autopilot -- --mode evergreen --topic deep_blue</t>
  </si>
  <si>
    <t xml:space="preserve">luka, teto, neru (cameo)</t>
  </si>
  <si>
    <t xml:space="preserve">Escribir con: npm run autopilot -- --mode evergreen --topic mars_climate_orbiter</t>
  </si>
  <si>
    <t xml:space="preserve">luka, miku, neru (cameo)</t>
  </si>
  <si>
    <t xml:space="preserve">Escribir con: npm run autopilot -- --mode evergreen --topic context_window</t>
  </si>
  <si>
    <t xml:space="preserve">Escribir con: npm run autopilot -- --mode evergreen --topic vocaloid_tech</t>
  </si>
  <si>
    <t xml:space="preserve">concept_lesson</t>
  </si>
  <si>
    <t xml:space="preserve">teto, miku, luka, neru (cameo)</t>
  </si>
  <si>
    <t xml:space="preserve">cafeteria</t>
  </si>
  <si>
    <t xml:space="preserve">Escribir con: npm run autopilot -- --mode evergreen --topic docker</t>
  </si>
  <si>
    <t xml:space="preserve">Escribir con: npm run autopilot -- --mode evergreen --topic left_pad</t>
  </si>
  <si>
    <t xml:space="preserve">Seguimiento de métricas (1 h y 48 h después de publicar)</t>
  </si>
  <si>
    <t xml:space="preserve">Una fila por publicación (enlazada al Calendario). Decide con tus datos: TikTok % completo y búsqueda; Instagram envíos y guardados; YouTube % visto (objetivo ≥ 70 %).</t>
  </si>
  <si>
    <t xml:space="preserve">Ejemplo de llenado (no se suma): Vistas 1 h 1250 · Vistas 48 h 8400 · % visto 38 % · Tiempo medio 21 s · Me gusta 640 · Comentarios 45 · Compartidos 90 · Guardados 120 · Seguidores 35 · % búsqueda 22 %.</t>
  </si>
  <si>
    <t xml:space="preserve">Vistas 1 h</t>
  </si>
  <si>
    <t xml:space="preserve">Vistas 48 h</t>
  </si>
  <si>
    <t xml:space="preserve">% visto completo</t>
  </si>
  <si>
    <t xml:space="preserve">Tiempo medio (s)</t>
  </si>
  <si>
    <t xml:space="preserve">Me gusta</t>
  </si>
  <si>
    <t xml:space="preserve">Comentarios</t>
  </si>
  <si>
    <t xml:space="preserve">Compartidos / envíos</t>
  </si>
  <si>
    <t xml:space="preserve">Guardados</t>
  </si>
  <si>
    <t xml:space="preserve">Seguidores ganados</t>
  </si>
  <si>
    <t xml:space="preserve">% tráfico de búsqueda</t>
  </si>
  <si>
    <t xml:space="preserve">Interacción 48 h</t>
  </si>
  <si>
    <t xml:space="preserve">Reglas y parámetros</t>
  </si>
  <si>
    <t xml:space="preserve">Fuente: docs/10_DISTRIBUCION.md. Las celdas amarillas son parámetros: Calendario y Producción se recalculan al cambiarlas.</t>
  </si>
  <si>
    <t xml:space="preserve">Prueba A/B (docs/10 §4.2): en las semanas de prueba, TikTok de A y B pasa a las 13:00 (mediodía LATAM + prime time en España).</t>
  </si>
  <si>
    <t xml:space="preserve">Separación (horas)</t>
  </si>
  <si>
    <t xml:space="preserve">Valor</t>
  </si>
  <si>
    <t xml:space="preserve">Mínimo entre dos videos de la misma plataforma</t>
  </si>
  <si>
    <t xml:space="preserve">Reels: mínimo después del estreno en TikTok</t>
  </si>
  <si>
    <t xml:space="preserve">Reels: máximo después del estreno en TikTok</t>
  </si>
  <si>
    <t xml:space="preserve">Shorts: mínimo después del estreno en TikTok</t>
  </si>
  <si>
    <t xml:space="preserve">Shorts: máximo después del estreno en TikTok</t>
  </si>
  <si>
    <t xml:space="preserve">Plazos de producción (días respecto al estreno en TikTok)</t>
  </si>
  <si>
    <t xml:space="preserve">Días</t>
  </si>
  <si>
    <t xml:space="preserve">Guion aprobado (revisión de hechos, tono y chistes) — días antes</t>
  </si>
  <si>
    <t xml:space="preserve">Voces grabadas en Fish Audio + saludo — días antes</t>
  </si>
  <si>
    <t xml:space="preserve">Render final 1080x1920 + QA (report.json en PASS) — días antes</t>
  </si>
  <si>
    <t xml:space="preserve">Aprobación final y textos de publicación — días antes</t>
  </si>
  <si>
    <t xml:space="preserve">Métricas de 48 h — días después (valor negativo)</t>
  </si>
  <si>
    <t xml:space="preserve">Otras reglas</t>
  </si>
  <si>
    <t xml:space="preserve">• Noticia de menos de 48 h: publicar en las tres plataformas en cuanto el video esté aprobado (la oportunidad pesa más que la franja).</t>
  </si>
  <si>
    <t xml:space="preserve">• Publicar 15–30 min antes de la franja objetivo y quedarse 60 min respondiendo comentarios.</t>
  </si>
  <si>
    <t xml:space="preserve">• Duración: TikTok 61–90 s (Creator Rewards &gt; 60 s); Reels y Shorts 60–75 s. El motor exige 60–120 s.</t>
  </si>
  <si>
    <t xml:space="preserve">• Etiqueta de IA activada en las tres plataformas (voces sintéticas) y «Voces generadas con IA» en la descripción.</t>
  </si>
  <si>
    <t xml:space="preserve">• Instagram: máximo 5 hashtags, descripción reescrita (no copiar la de TikTok), música de la biblioteca de Instagram, sin marca de agua ajena.</t>
  </si>
  <si>
    <t xml:space="preserve">• YouTube: título sin hashtags (≤ 100 caracteres), 3 hashtags en la descripción, «contenido alterado o sintético» = Sí, playlist de la serie.</t>
  </si>
  <si>
    <t xml:space="preserve">• Licencias: si report.json dice commercialUse = blocked, no activar monetización con ese video (docs/09_LICENSING.md).</t>
  </si>
  <si>
    <t xml:space="preserve">• Prototipos (preview.mp4, 540x960, voz de borrador): solo para revisión; nunca se publican.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</si>
</sst>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dd/mm/yyyy\ hh:mm"/>
    <numFmt numFmtId="167" formatCode="0.0"/>
    <numFmt numFmtId="168" formatCode="dd/mm\ hh:mm"/>
    <numFmt numFmtId="169" formatCode="ddd\ dd/mm\ hh:mm"/>
    <numFmt numFmtId="170" formatCode="ddd\ dd/mm"/>
    <numFmt numFmtId="171" formatCode="#,##0"/>
    <numFmt numFmtId="172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82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2"/>
      <color rgb="FF111827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3F4F6"/>
        <bgColor rgb="FFF9FAFB"/>
      </patternFill>
    </fill>
    <fill>
      <patternFill patternType="solid">
        <fgColor rgb="FF1F2937"/>
        <bgColor rgb="FF111827"/>
      </patternFill>
    </fill>
    <fill>
      <patternFill patternType="solid">
        <fgColor rgb="FFFFF2CC"/>
        <bgColor rgb="FFFEE2E2"/>
      </patternFill>
    </fill>
    <fill>
      <patternFill patternType="solid">
        <fgColor rgb="FFE0F7F6"/>
        <bgColor rgb="FFD1FAE5"/>
      </patternFill>
    </fill>
    <fill>
      <patternFill patternType="solid">
        <fgColor rgb="FFFCE7F3"/>
        <bgColor rgb="FFFEE2E2"/>
      </patternFill>
    </fill>
    <fill>
      <patternFill patternType="solid">
        <fgColor rgb="FFFEE2E2"/>
        <bgColor rgb="FFFCE7F3"/>
      </patternFill>
    </fill>
    <fill>
      <patternFill patternType="solid">
        <fgColor rgb="FFF9FA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991B1B"/>
      </font>
      <fill>
        <patternFill>
          <bgColor rgb="FFFEE2E2"/>
        </patternFill>
      </fill>
    </dxf>
    <dxf>
      <font>
        <color rgb="FF047857"/>
      </font>
    </dxf>
    <dxf>
      <fill>
        <patternFill>
          <bgColor rgb="FFD1FAE5"/>
        </patternFill>
      </fill>
    </dxf>
    <dxf>
      <fill>
        <patternFill>
          <bgColor rgb="FFDBEAFE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F9FAFB"/>
      <rgbColor rgb="FF808080"/>
      <rgbColor rgb="FF9999FF"/>
      <rgbColor rgb="FF993366"/>
      <rgbColor rgb="FFFFF2CC"/>
      <rgbColor rgb="FFE0F7F6"/>
      <rgbColor rgb="FF660066"/>
      <rgbColor rgb="FFE285B2"/>
      <rgbColor rgb="FF0066CC"/>
      <rgbColor rgb="FFFCE7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3F4F6"/>
      <rgbColor rgb="FF99CCFF"/>
      <rgbColor rgb="FFFF99CC"/>
      <rgbColor rgb="FFCC99FF"/>
      <rgbColor rgb="FFFEE2E2"/>
      <rgbColor rgb="FF3D7BFF"/>
      <rgbColor rgb="FF39C5BB"/>
      <rgbColor rgb="FF99CC00"/>
      <rgbColor rgb="FFF6C744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9C5BB"/>
    <pageSetUpPr fitToPage="tru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5" t="s">
        <v>8</v>
      </c>
    </row>
    <row r="11" customFormat="false" ht="15" hidden="false" customHeight="false" outlineLevel="0" collapsed="false">
      <c r="A11" s="5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5" t="s">
        <v>11</v>
      </c>
      <c r="B14" s="6" t="n">
        <f aca="false">COUNTA(Calendario!$E$5:$E$300)</f>
        <v>36</v>
      </c>
    </row>
    <row r="15" customFormat="false" ht="15" hidden="false" customHeight="false" outlineLevel="0" collapsed="false">
      <c r="A15" s="5" t="s">
        <v>12</v>
      </c>
      <c r="B15" s="6" t="n">
        <f aca="false">COUNTIF(Calendario!$O$5:$O$300,"Aprobado")</f>
        <v>0</v>
      </c>
    </row>
    <row r="16" customFormat="false" ht="15" hidden="false" customHeight="false" outlineLevel="0" collapsed="false">
      <c r="A16" s="5" t="s">
        <v>13</v>
      </c>
      <c r="B16" s="6" t="n">
        <f aca="false">COUNTIF(Calendario!$O$5:$O$300,"Publicado")</f>
        <v>0</v>
      </c>
    </row>
    <row r="17" customFormat="false" ht="15" hidden="false" customHeight="false" outlineLevel="0" collapsed="false">
      <c r="A17" s="5" t="s">
        <v>14</v>
      </c>
      <c r="B17" s="6" t="n">
        <f aca="false">COUNTIF(Calendario!$K$5:$K$300,"Revisar")</f>
        <v>0</v>
      </c>
    </row>
    <row r="18" customFormat="false" ht="15" hidden="false" customHeight="false" outlineLevel="0" collapsed="false">
      <c r="A18" s="5" t="s">
        <v>15</v>
      </c>
      <c r="B18" s="6" t="n">
        <f aca="false">COUNTA(Producción!$C$5:$C$300)</f>
        <v>12</v>
      </c>
    </row>
    <row r="19" customFormat="false" ht="15" hidden="false" customHeight="false" outlineLevel="0" collapsed="false">
      <c r="A19" s="5" t="s">
        <v>16</v>
      </c>
      <c r="B19" s="6" t="n">
        <f aca="false">COUNTIF(Producción!$P$5:$P$300,"Video final listo")+COUNTIF(Producción!$P$5:$P$300,"Aprobado")</f>
        <v>1</v>
      </c>
    </row>
    <row r="21" customFormat="false" ht="15" hidden="false" customHeight="false" outlineLevel="0" collapsed="false">
      <c r="A21" s="4" t="s">
        <v>17</v>
      </c>
    </row>
    <row r="22" customFormat="false" ht="42" hidden="false" customHeight="true" outlineLevel="0" collapsed="false">
      <c r="A22" s="7" t="s">
        <v>18</v>
      </c>
      <c r="B22" s="7" t="s">
        <v>19</v>
      </c>
      <c r="C22" s="7" t="s">
        <v>20</v>
      </c>
      <c r="D22" s="7" t="s">
        <v>21</v>
      </c>
    </row>
    <row r="23" customFormat="false" ht="15" hidden="false" customHeight="false" outlineLevel="0" collapsed="false">
      <c r="A23" s="8" t="s">
        <v>22</v>
      </c>
      <c r="B23" s="9" t="s">
        <v>23</v>
      </c>
      <c r="C23" s="9" t="s">
        <v>24</v>
      </c>
      <c r="D23" s="9" t="s">
        <v>25</v>
      </c>
    </row>
    <row r="24" customFormat="false" ht="15" hidden="false" customHeight="false" outlineLevel="0" collapsed="false">
      <c r="A24" s="8" t="s">
        <v>26</v>
      </c>
      <c r="B24" s="9" t="s">
        <v>27</v>
      </c>
      <c r="C24" s="9" t="s">
        <v>28</v>
      </c>
      <c r="D24" s="9" t="s">
        <v>29</v>
      </c>
    </row>
    <row r="25" customFormat="false" ht="15" hidden="false" customHeight="false" outlineLevel="0" collapsed="false">
      <c r="A25" s="8" t="s">
        <v>30</v>
      </c>
      <c r="B25" s="9" t="s">
        <v>31</v>
      </c>
      <c r="C25" s="9" t="s">
        <v>32</v>
      </c>
      <c r="D25" s="9" t="s">
        <v>33</v>
      </c>
    </row>
    <row r="26" customFormat="false" ht="15" hidden="false" customHeight="false" outlineLevel="0" collapsed="false">
      <c r="A26" s="2" t="s">
        <v>34</v>
      </c>
    </row>
    <row r="27" customFormat="false" ht="15" hidden="false" customHeight="false" outlineLevel="0" collapsed="false">
      <c r="A27" s="2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85B2"/>
    <pageSetUpPr fitToPage="tru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5" min="12" style="0" width="12"/>
    <col collapsed="false" customWidth="true" hidden="false" outlineLevel="0" max="16" min="16" style="0" width="34"/>
    <col collapsed="false" customWidth="true" hidden="false" outlineLevel="0" max="17" min="17" style="0" width="44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3" t="s">
        <v>38</v>
      </c>
    </row>
    <row r="4" customFormat="false" ht="42" hidden="false" customHeight="true" outlineLevel="0" collapsed="false">
      <c r="A4" s="7" t="s">
        <v>39</v>
      </c>
      <c r="B4" s="7" t="s">
        <v>18</v>
      </c>
      <c r="C4" s="7" t="s">
        <v>40</v>
      </c>
      <c r="D4" s="7" t="s">
        <v>41</v>
      </c>
      <c r="E4" s="7" t="s">
        <v>42</v>
      </c>
      <c r="F4" s="7" t="s">
        <v>43</v>
      </c>
      <c r="G4" s="7" t="s">
        <v>44</v>
      </c>
      <c r="H4" s="7" t="s">
        <v>45</v>
      </c>
      <c r="I4" s="7" t="s">
        <v>46</v>
      </c>
      <c r="J4" s="7" t="s">
        <v>47</v>
      </c>
      <c r="K4" s="7" t="s">
        <v>48</v>
      </c>
      <c r="L4" s="7" t="s">
        <v>49</v>
      </c>
      <c r="M4" s="7" t="s">
        <v>50</v>
      </c>
      <c r="N4" s="7" t="s">
        <v>51</v>
      </c>
      <c r="O4" s="7" t="s">
        <v>52</v>
      </c>
      <c r="P4" s="7" t="s">
        <v>53</v>
      </c>
      <c r="Q4" s="7" t="s">
        <v>54</v>
      </c>
    </row>
    <row r="5" customFormat="false" ht="15" hidden="false" customHeight="false" outlineLevel="0" collapsed="false">
      <c r="A5" s="9" t="n">
        <v>1</v>
      </c>
      <c r="B5" s="9" t="s">
        <v>22</v>
      </c>
      <c r="C5" s="10" t="n">
        <v>46301.8125</v>
      </c>
      <c r="D5" s="11" t="str">
        <f aca="false">CHOOSE(WEEKDAY(C5,2),"lunes","martes","miércoles","jueves","viernes","sábado","domingo")</f>
        <v>martes</v>
      </c>
      <c r="E5" s="12" t="s">
        <v>55</v>
      </c>
      <c r="F5" s="5" t="s">
        <v>56</v>
      </c>
      <c r="G5" s="5" t="s">
        <v>57</v>
      </c>
      <c r="H5" s="5" t="s">
        <v>58</v>
      </c>
      <c r="I5" s="13" t="str">
        <f aca="false">IF(COUNTIFS($E$5:$E$300,E5,$C$5:$C$300,"&lt;"&amp;C5)=0,"—",ROUND((C5-SUMPRODUCT(MAX(($E$5:$E$300=E5)*($C$5:$C$300&lt;C5)*$C$5:$C$300)))*24,1))</f>
        <v>—</v>
      </c>
      <c r="J5" s="13" t="str">
        <f aca="false">IF(E5="TikTok","—",ROUND((C5-SUMIFS($C$5:$C$300,$F$5:$F$300,F5,$E$5:$E$300,"TikTok"))*24,1))</f>
        <v>—</v>
      </c>
      <c r="K5" s="14" t="str">
        <f aca="false">IF(AND(OR(I5="—",N(I5)&gt;=Reglas!$C$11),OR(E5="TikTok",AND(N(J5)&gt;=IF(E5="Instagram Reels",Reglas!$C$12,Reglas!$C$14),N(J5)&lt;=IF(E5="Instagram Reels",Reglas!$C$13,Reglas!$C$15)))),"OK","Revisar")</f>
        <v>OK</v>
      </c>
      <c r="L5" s="15" t="n">
        <f aca="false">C5+1/24</f>
        <v>46301.8541666667</v>
      </c>
      <c r="M5" s="15" t="n">
        <f aca="false">C5+3/24</f>
        <v>46301.9375</v>
      </c>
      <c r="N5" s="15" t="n">
        <f aca="false">C5+IF(C5&lt;DATE(2026,10,24)+TIME(19,0,0),8,7)/24</f>
        <v>46302.1458333333</v>
      </c>
      <c r="O5" s="16" t="s">
        <v>59</v>
      </c>
      <c r="P5" s="17"/>
      <c r="Q5" s="17" t="s">
        <v>60</v>
      </c>
    </row>
    <row r="6" customFormat="false" ht="15" hidden="false" customHeight="false" outlineLevel="0" collapsed="false">
      <c r="A6" s="9" t="n">
        <v>1</v>
      </c>
      <c r="B6" s="9" t="s">
        <v>22</v>
      </c>
      <c r="C6" s="10" t="n">
        <v>46302.5416666667</v>
      </c>
      <c r="D6" s="11" t="str">
        <f aca="false">CHOOSE(WEEKDAY(C6,2),"lunes","martes","miércoles","jueves","viernes","sábado","domingo")</f>
        <v>miércoles</v>
      </c>
      <c r="E6" s="18" t="s">
        <v>61</v>
      </c>
      <c r="F6" s="5" t="s">
        <v>56</v>
      </c>
      <c r="G6" s="5" t="s">
        <v>57</v>
      </c>
      <c r="H6" s="5" t="s">
        <v>58</v>
      </c>
      <c r="I6" s="13" t="str">
        <f aca="false">IF(COUNTIFS($E$5:$E$300,E6,$C$5:$C$300,"&lt;"&amp;C6)=0,"—",ROUND((C6-SUMPRODUCT(MAX(($E$5:$E$300=E6)*($C$5:$C$300&lt;C6)*$C$5:$C$300)))*24,1))</f>
        <v>—</v>
      </c>
      <c r="J6" s="13" t="n">
        <f aca="false">IF(E6="TikTok","—",ROUND((C6-SUMIFS($C$5:$C$300,$F$5:$F$300,F6,$E$5:$E$300,"TikTok"))*24,1))</f>
        <v>17.5</v>
      </c>
      <c r="K6" s="14" t="str">
        <f aca="false">IF(AND(OR(I6="—",N(I6)&gt;=Reglas!$C$11),OR(E6="TikTok",AND(N(J6)&gt;=IF(E6="Instagram Reels",Reglas!$C$12,Reglas!$C$14),N(J6)&lt;=IF(E6="Instagram Reels",Reglas!$C$13,Reglas!$C$15)))),"OK","Revisar")</f>
        <v>OK</v>
      </c>
      <c r="L6" s="15" t="n">
        <f aca="false">C6+1/24</f>
        <v>46302.5833333333</v>
      </c>
      <c r="M6" s="15" t="n">
        <f aca="false">C6+3/24</f>
        <v>46302.6666666667</v>
      </c>
      <c r="N6" s="15" t="n">
        <f aca="false">C6+IF(C6&lt;DATE(2026,10,24)+TIME(19,0,0),8,7)/24</f>
        <v>46302.875</v>
      </c>
      <c r="O6" s="16" t="s">
        <v>59</v>
      </c>
      <c r="P6" s="17"/>
      <c r="Q6" s="17"/>
    </row>
    <row r="7" customFormat="false" ht="15" hidden="false" customHeight="false" outlineLevel="0" collapsed="false">
      <c r="A7" s="9" t="n">
        <v>1</v>
      </c>
      <c r="B7" s="9" t="s">
        <v>26</v>
      </c>
      <c r="C7" s="10" t="n">
        <v>46303.8125</v>
      </c>
      <c r="D7" s="11" t="str">
        <f aca="false">CHOOSE(WEEKDAY(C7,2),"lunes","martes","miércoles","jueves","viernes","sábado","domingo")</f>
        <v>jueves</v>
      </c>
      <c r="E7" s="12" t="s">
        <v>55</v>
      </c>
      <c r="F7" s="5" t="s">
        <v>62</v>
      </c>
      <c r="G7" s="5" t="s">
        <v>63</v>
      </c>
      <c r="H7" s="5" t="s">
        <v>58</v>
      </c>
      <c r="I7" s="13" t="n">
        <f aca="false">IF(COUNTIFS($E$5:$E$300,E7,$C$5:$C$300,"&lt;"&amp;C7)=0,"—",ROUND((C7-SUMPRODUCT(MAX(($E$5:$E$300=E7)*($C$5:$C$300&lt;C7)*$C$5:$C$300)))*24,1))</f>
        <v>48</v>
      </c>
      <c r="J7" s="13" t="str">
        <f aca="false">IF(E7="TikTok","—",ROUND((C7-SUMIFS($C$5:$C$300,$F$5:$F$300,F7,$E$5:$E$300,"TikTok"))*24,1))</f>
        <v>—</v>
      </c>
      <c r="K7" s="14" t="str">
        <f aca="false">IF(AND(OR(I7="—",N(I7)&gt;=Reglas!$C$11),OR(E7="TikTok",AND(N(J7)&gt;=IF(E7="Instagram Reels",Reglas!$C$12,Reglas!$C$14),N(J7)&lt;=IF(E7="Instagram Reels",Reglas!$C$13,Reglas!$C$15)))),"OK","Revisar")</f>
        <v>OK</v>
      </c>
      <c r="L7" s="15" t="n">
        <f aca="false">C7+1/24</f>
        <v>46303.8541666667</v>
      </c>
      <c r="M7" s="15" t="n">
        <f aca="false">C7+3/24</f>
        <v>46303.9375</v>
      </c>
      <c r="N7" s="15" t="n">
        <f aca="false">C7+IF(C7&lt;DATE(2026,10,24)+TIME(19,0,0),8,7)/24</f>
        <v>46304.1458333333</v>
      </c>
      <c r="O7" s="16" t="s">
        <v>59</v>
      </c>
      <c r="P7" s="17"/>
      <c r="Q7" s="17" t="s">
        <v>60</v>
      </c>
    </row>
    <row r="8" customFormat="false" ht="15" hidden="false" customHeight="false" outlineLevel="0" collapsed="false">
      <c r="A8" s="9" t="n">
        <v>1</v>
      </c>
      <c r="B8" s="9" t="s">
        <v>26</v>
      </c>
      <c r="C8" s="10" t="n">
        <v>46304.5416666667</v>
      </c>
      <c r="D8" s="11" t="str">
        <f aca="false">CHOOSE(WEEKDAY(C8,2),"lunes","martes","miércoles","jueves","viernes","sábado","domingo")</f>
        <v>viernes</v>
      </c>
      <c r="E8" s="18" t="s">
        <v>61</v>
      </c>
      <c r="F8" s="5" t="s">
        <v>62</v>
      </c>
      <c r="G8" s="5" t="s">
        <v>63</v>
      </c>
      <c r="H8" s="5" t="s">
        <v>58</v>
      </c>
      <c r="I8" s="13" t="n">
        <f aca="false">IF(COUNTIFS($E$5:$E$300,E8,$C$5:$C$300,"&lt;"&amp;C8)=0,"—",ROUND((C8-SUMPRODUCT(MAX(($E$5:$E$300=E8)*($C$5:$C$300&lt;C8)*$C$5:$C$300)))*24,1))</f>
        <v>48</v>
      </c>
      <c r="J8" s="13" t="n">
        <f aca="false">IF(E8="TikTok","—",ROUND((C8-SUMIFS($C$5:$C$300,$F$5:$F$300,F8,$E$5:$E$300,"TikTok"))*24,1))</f>
        <v>17.5</v>
      </c>
      <c r="K8" s="14" t="str">
        <f aca="false">IF(AND(OR(I8="—",N(I8)&gt;=Reglas!$C$11),OR(E8="TikTok",AND(N(J8)&gt;=IF(E8="Instagram Reels",Reglas!$C$12,Reglas!$C$14),N(J8)&lt;=IF(E8="Instagram Reels",Reglas!$C$13,Reglas!$C$15)))),"OK","Revisar")</f>
        <v>OK</v>
      </c>
      <c r="L8" s="15" t="n">
        <f aca="false">C8+1/24</f>
        <v>46304.5833333333</v>
      </c>
      <c r="M8" s="15" t="n">
        <f aca="false">C8+3/24</f>
        <v>46304.6666666667</v>
      </c>
      <c r="N8" s="15" t="n">
        <f aca="false">C8+IF(C8&lt;DATE(2026,10,24)+TIME(19,0,0),8,7)/24</f>
        <v>46304.875</v>
      </c>
      <c r="O8" s="16" t="s">
        <v>59</v>
      </c>
      <c r="P8" s="17"/>
      <c r="Q8" s="17"/>
    </row>
    <row r="9" customFormat="false" ht="15" hidden="false" customHeight="false" outlineLevel="0" collapsed="false">
      <c r="A9" s="9" t="n">
        <v>1</v>
      </c>
      <c r="B9" s="9" t="s">
        <v>22</v>
      </c>
      <c r="C9" s="10" t="n">
        <v>46304.7083333333</v>
      </c>
      <c r="D9" s="11" t="str">
        <f aca="false">CHOOSE(WEEKDAY(C9,2),"lunes","martes","miércoles","jueves","viernes","sábado","domingo")</f>
        <v>viernes</v>
      </c>
      <c r="E9" s="19" t="s">
        <v>64</v>
      </c>
      <c r="F9" s="5" t="s">
        <v>56</v>
      </c>
      <c r="G9" s="5" t="s">
        <v>57</v>
      </c>
      <c r="H9" s="5" t="s">
        <v>58</v>
      </c>
      <c r="I9" s="13" t="str">
        <f aca="false">IF(COUNTIFS($E$5:$E$300,E9,$C$5:$C$300,"&lt;"&amp;C9)=0,"—",ROUND((C9-SUMPRODUCT(MAX(($E$5:$E$300=E9)*($C$5:$C$300&lt;C9)*$C$5:$C$300)))*24,1))</f>
        <v>—</v>
      </c>
      <c r="J9" s="13" t="n">
        <f aca="false">IF(E9="TikTok","—",ROUND((C9-SUMIFS($C$5:$C$300,$F$5:$F$300,F9,$E$5:$E$300,"TikTok"))*24,1))</f>
        <v>69.5</v>
      </c>
      <c r="K9" s="14" t="str">
        <f aca="false">IF(AND(OR(I9="—",N(I9)&gt;=Reglas!$C$11),OR(E9="TikTok",AND(N(J9)&gt;=IF(E9="Instagram Reels",Reglas!$C$12,Reglas!$C$14),N(J9)&lt;=IF(E9="Instagram Reels",Reglas!$C$13,Reglas!$C$15)))),"OK","Revisar")</f>
        <v>OK</v>
      </c>
      <c r="L9" s="15" t="n">
        <f aca="false">C9+1/24</f>
        <v>46304.75</v>
      </c>
      <c r="M9" s="15" t="n">
        <f aca="false">C9+3/24</f>
        <v>46304.8333333333</v>
      </c>
      <c r="N9" s="15" t="n">
        <f aca="false">C9+IF(C9&lt;DATE(2026,10,24)+TIME(19,0,0),8,7)/24</f>
        <v>46305.0416666667</v>
      </c>
      <c r="O9" s="16" t="s">
        <v>59</v>
      </c>
      <c r="P9" s="17"/>
      <c r="Q9" s="17"/>
    </row>
    <row r="10" customFormat="false" ht="15" hidden="false" customHeight="false" outlineLevel="0" collapsed="false">
      <c r="A10" s="9" t="n">
        <v>1</v>
      </c>
      <c r="B10" s="9" t="s">
        <v>26</v>
      </c>
      <c r="C10" s="10" t="n">
        <v>46305.7083333333</v>
      </c>
      <c r="D10" s="11" t="str">
        <f aca="false">CHOOSE(WEEKDAY(C10,2),"lunes","martes","miércoles","jueves","viernes","sábado","domingo")</f>
        <v>sábado</v>
      </c>
      <c r="E10" s="19" t="s">
        <v>64</v>
      </c>
      <c r="F10" s="5" t="s">
        <v>62</v>
      </c>
      <c r="G10" s="5" t="s">
        <v>63</v>
      </c>
      <c r="H10" s="5" t="s">
        <v>58</v>
      </c>
      <c r="I10" s="13" t="n">
        <f aca="false">IF(COUNTIFS($E$5:$E$300,E10,$C$5:$C$300,"&lt;"&amp;C10)=0,"—",ROUND((C10-SUMPRODUCT(MAX(($E$5:$E$300=E10)*($C$5:$C$300&lt;C10)*$C$5:$C$300)))*24,1))</f>
        <v>24</v>
      </c>
      <c r="J10" s="13" t="n">
        <f aca="false">IF(E10="TikTok","—",ROUND((C10-SUMIFS($C$5:$C$300,$F$5:$F$300,F10,$E$5:$E$300,"TikTok"))*24,1))</f>
        <v>45.5</v>
      </c>
      <c r="K10" s="14" t="str">
        <f aca="false">IF(AND(OR(I10="—",N(I10)&gt;=Reglas!$C$11),OR(E10="TikTok",AND(N(J10)&gt;=IF(E10="Instagram Reels",Reglas!$C$12,Reglas!$C$14),N(J10)&lt;=IF(E10="Instagram Reels",Reglas!$C$13,Reglas!$C$15)))),"OK","Revisar")</f>
        <v>OK</v>
      </c>
      <c r="L10" s="15" t="n">
        <f aca="false">C10+1/24</f>
        <v>46305.75</v>
      </c>
      <c r="M10" s="15" t="n">
        <f aca="false">C10+3/24</f>
        <v>46305.8333333333</v>
      </c>
      <c r="N10" s="15" t="n">
        <f aca="false">C10+IF(C10&lt;DATE(2026,10,24)+TIME(19,0,0),8,7)/24</f>
        <v>46306.0416666667</v>
      </c>
      <c r="O10" s="16" t="s">
        <v>59</v>
      </c>
      <c r="P10" s="17"/>
      <c r="Q10" s="17"/>
    </row>
    <row r="11" customFormat="false" ht="15" hidden="false" customHeight="false" outlineLevel="0" collapsed="false">
      <c r="A11" s="9" t="n">
        <v>1</v>
      </c>
      <c r="B11" s="9" t="s">
        <v>30</v>
      </c>
      <c r="C11" s="10" t="n">
        <v>46306.4375</v>
      </c>
      <c r="D11" s="11" t="str">
        <f aca="false">CHOOSE(WEEKDAY(C11,2),"lunes","martes","miércoles","jueves","viernes","sábado","domingo")</f>
        <v>domingo</v>
      </c>
      <c r="E11" s="12" t="s">
        <v>55</v>
      </c>
      <c r="F11" s="5" t="s">
        <v>65</v>
      </c>
      <c r="G11" s="5" t="s">
        <v>66</v>
      </c>
      <c r="H11" s="5" t="s">
        <v>58</v>
      </c>
      <c r="I11" s="13" t="n">
        <f aca="false">IF(COUNTIFS($E$5:$E$300,E11,$C$5:$C$300,"&lt;"&amp;C11)=0,"—",ROUND((C11-SUMPRODUCT(MAX(($E$5:$E$300=E11)*($C$5:$C$300&lt;C11)*$C$5:$C$300)))*24,1))</f>
        <v>63</v>
      </c>
      <c r="J11" s="13" t="str">
        <f aca="false">IF(E11="TikTok","—",ROUND((C11-SUMIFS($C$5:$C$300,$F$5:$F$300,F11,$E$5:$E$300,"TikTok"))*24,1))</f>
        <v>—</v>
      </c>
      <c r="K11" s="14" t="str">
        <f aca="false">IF(AND(OR(I11="—",N(I11)&gt;=Reglas!$C$11),OR(E11="TikTok",AND(N(J11)&gt;=IF(E11="Instagram Reels",Reglas!$C$12,Reglas!$C$14),N(J11)&lt;=IF(E11="Instagram Reels",Reglas!$C$13,Reglas!$C$15)))),"OK","Revisar")</f>
        <v>OK</v>
      </c>
      <c r="L11" s="15" t="n">
        <f aca="false">C11+1/24</f>
        <v>46306.4791666667</v>
      </c>
      <c r="M11" s="15" t="n">
        <f aca="false">C11+3/24</f>
        <v>46306.5625</v>
      </c>
      <c r="N11" s="15" t="n">
        <f aca="false">C11+IF(C11&lt;DATE(2026,10,24)+TIME(19,0,0),8,7)/24</f>
        <v>46306.7708333333</v>
      </c>
      <c r="O11" s="16" t="s">
        <v>59</v>
      </c>
      <c r="P11" s="17"/>
      <c r="Q11" s="17" t="s">
        <v>60</v>
      </c>
    </row>
    <row r="12" customFormat="false" ht="15" hidden="false" customHeight="false" outlineLevel="0" collapsed="false">
      <c r="A12" s="9" t="n">
        <v>1</v>
      </c>
      <c r="B12" s="9" t="s">
        <v>30</v>
      </c>
      <c r="C12" s="10" t="n">
        <v>46307.5416666667</v>
      </c>
      <c r="D12" s="11" t="str">
        <f aca="false">CHOOSE(WEEKDAY(C12,2),"lunes","martes","miércoles","jueves","viernes","sábado","domingo")</f>
        <v>lunes</v>
      </c>
      <c r="E12" s="18" t="s">
        <v>61</v>
      </c>
      <c r="F12" s="5" t="s">
        <v>65</v>
      </c>
      <c r="G12" s="5" t="s">
        <v>66</v>
      </c>
      <c r="H12" s="5" t="s">
        <v>58</v>
      </c>
      <c r="I12" s="13" t="n">
        <f aca="false">IF(COUNTIFS($E$5:$E$300,E12,$C$5:$C$300,"&lt;"&amp;C12)=0,"—",ROUND((C12-SUMPRODUCT(MAX(($E$5:$E$300=E12)*($C$5:$C$300&lt;C12)*$C$5:$C$300)))*24,1))</f>
        <v>72</v>
      </c>
      <c r="J12" s="13" t="n">
        <f aca="false">IF(E12="TikTok","—",ROUND((C12-SUMIFS($C$5:$C$300,$F$5:$F$300,F12,$E$5:$E$300,"TikTok"))*24,1))</f>
        <v>26.5</v>
      </c>
      <c r="K12" s="14" t="str">
        <f aca="false">IF(AND(OR(I12="—",N(I12)&gt;=Reglas!$C$11),OR(E12="TikTok",AND(N(J12)&gt;=IF(E12="Instagram Reels",Reglas!$C$12,Reglas!$C$14),N(J12)&lt;=IF(E12="Instagram Reels",Reglas!$C$13,Reglas!$C$15)))),"OK","Revisar")</f>
        <v>OK</v>
      </c>
      <c r="L12" s="15" t="n">
        <f aca="false">C12+1/24</f>
        <v>46307.5833333333</v>
      </c>
      <c r="M12" s="15" t="n">
        <f aca="false">C12+3/24</f>
        <v>46307.6666666667</v>
      </c>
      <c r="N12" s="15" t="n">
        <f aca="false">C12+IF(C12&lt;DATE(2026,10,24)+TIME(19,0,0),8,7)/24</f>
        <v>46307.875</v>
      </c>
      <c r="O12" s="16" t="s">
        <v>59</v>
      </c>
      <c r="P12" s="17"/>
      <c r="Q12" s="17"/>
    </row>
    <row r="13" customFormat="false" ht="15" hidden="false" customHeight="false" outlineLevel="0" collapsed="false">
      <c r="A13" s="20" t="n">
        <v>2</v>
      </c>
      <c r="B13" s="20" t="s">
        <v>22</v>
      </c>
      <c r="C13" s="10" t="n">
        <v>46308.8125</v>
      </c>
      <c r="D13" s="11" t="str">
        <f aca="false">CHOOSE(WEEKDAY(C13,2),"lunes","martes","miércoles","jueves","viernes","sábado","domingo")</f>
        <v>martes</v>
      </c>
      <c r="E13" s="12" t="s">
        <v>55</v>
      </c>
      <c r="F13" s="21" t="s">
        <v>67</v>
      </c>
      <c r="G13" s="21" t="s">
        <v>68</v>
      </c>
      <c r="H13" s="21" t="s">
        <v>69</v>
      </c>
      <c r="I13" s="13" t="n">
        <f aca="false">IF(COUNTIFS($E$5:$E$300,E13,$C$5:$C$300,"&lt;"&amp;C13)=0,"—",ROUND((C13-SUMPRODUCT(MAX(($E$5:$E$300=E13)*($C$5:$C$300&lt;C13)*$C$5:$C$300)))*24,1))</f>
        <v>57</v>
      </c>
      <c r="J13" s="13" t="str">
        <f aca="false">IF(E13="TikTok","—",ROUND((C13-SUMIFS($C$5:$C$300,$F$5:$F$300,F13,$E$5:$E$300,"TikTok"))*24,1))</f>
        <v>—</v>
      </c>
      <c r="K13" s="14" t="str">
        <f aca="false">IF(AND(OR(I13="—",N(I13)&gt;=Reglas!$C$11),OR(E13="TikTok",AND(N(J13)&gt;=IF(E13="Instagram Reels",Reglas!$C$12,Reglas!$C$14),N(J13)&lt;=IF(E13="Instagram Reels",Reglas!$C$13,Reglas!$C$15)))),"OK","Revisar")</f>
        <v>OK</v>
      </c>
      <c r="L13" s="15" t="n">
        <f aca="false">C13+1/24</f>
        <v>46308.8541666667</v>
      </c>
      <c r="M13" s="15" t="n">
        <f aca="false">C13+3/24</f>
        <v>46308.9375</v>
      </c>
      <c r="N13" s="15" t="n">
        <f aca="false">C13+IF(C13&lt;DATE(2026,10,24)+TIME(19,0,0),8,7)/24</f>
        <v>46309.1458333333</v>
      </c>
      <c r="O13" s="16" t="s">
        <v>59</v>
      </c>
      <c r="P13" s="17"/>
      <c r="Q13" s="17"/>
    </row>
    <row r="14" customFormat="false" ht="15" hidden="false" customHeight="false" outlineLevel="0" collapsed="false">
      <c r="A14" s="20" t="n">
        <v>2</v>
      </c>
      <c r="B14" s="20" t="s">
        <v>22</v>
      </c>
      <c r="C14" s="10" t="n">
        <v>46309.5416666667</v>
      </c>
      <c r="D14" s="11" t="str">
        <f aca="false">CHOOSE(WEEKDAY(C14,2),"lunes","martes","miércoles","jueves","viernes","sábado","domingo")</f>
        <v>miércoles</v>
      </c>
      <c r="E14" s="18" t="s">
        <v>61</v>
      </c>
      <c r="F14" s="21" t="s">
        <v>67</v>
      </c>
      <c r="G14" s="21" t="s">
        <v>68</v>
      </c>
      <c r="H14" s="21" t="s">
        <v>69</v>
      </c>
      <c r="I14" s="13" t="n">
        <f aca="false">IF(COUNTIFS($E$5:$E$300,E14,$C$5:$C$300,"&lt;"&amp;C14)=0,"—",ROUND((C14-SUMPRODUCT(MAX(($E$5:$E$300=E14)*($C$5:$C$300&lt;C14)*$C$5:$C$300)))*24,1))</f>
        <v>48</v>
      </c>
      <c r="J14" s="13" t="n">
        <f aca="false">IF(E14="TikTok","—",ROUND((C14-SUMIFS($C$5:$C$300,$F$5:$F$300,F14,$E$5:$E$300,"TikTok"))*24,1))</f>
        <v>17.5</v>
      </c>
      <c r="K14" s="14" t="str">
        <f aca="false">IF(AND(OR(I14="—",N(I14)&gt;=Reglas!$C$11),OR(E14="TikTok",AND(N(J14)&gt;=IF(E14="Instagram Reels",Reglas!$C$12,Reglas!$C$14),N(J14)&lt;=IF(E14="Instagram Reels",Reglas!$C$13,Reglas!$C$15)))),"OK","Revisar")</f>
        <v>OK</v>
      </c>
      <c r="L14" s="15" t="n">
        <f aca="false">C14+1/24</f>
        <v>46309.5833333333</v>
      </c>
      <c r="M14" s="15" t="n">
        <f aca="false">C14+3/24</f>
        <v>46309.6666666667</v>
      </c>
      <c r="N14" s="15" t="n">
        <f aca="false">C14+IF(C14&lt;DATE(2026,10,24)+TIME(19,0,0),8,7)/24</f>
        <v>46309.875</v>
      </c>
      <c r="O14" s="16" t="s">
        <v>59</v>
      </c>
      <c r="P14" s="17"/>
      <c r="Q14" s="17"/>
    </row>
    <row r="15" customFormat="false" ht="15" hidden="false" customHeight="false" outlineLevel="0" collapsed="false">
      <c r="A15" s="9" t="n">
        <v>1</v>
      </c>
      <c r="B15" s="9" t="s">
        <v>30</v>
      </c>
      <c r="C15" s="10" t="n">
        <v>46309.7083333333</v>
      </c>
      <c r="D15" s="11" t="str">
        <f aca="false">CHOOSE(WEEKDAY(C15,2),"lunes","martes","miércoles","jueves","viernes","sábado","domingo")</f>
        <v>miércoles</v>
      </c>
      <c r="E15" s="19" t="s">
        <v>64</v>
      </c>
      <c r="F15" s="5" t="s">
        <v>65</v>
      </c>
      <c r="G15" s="5" t="s">
        <v>66</v>
      </c>
      <c r="H15" s="5" t="s">
        <v>58</v>
      </c>
      <c r="I15" s="13" t="n">
        <f aca="false">IF(COUNTIFS($E$5:$E$300,E15,$C$5:$C$300,"&lt;"&amp;C15)=0,"—",ROUND((C15-SUMPRODUCT(MAX(($E$5:$E$300=E15)*($C$5:$C$300&lt;C15)*$C$5:$C$300)))*24,1))</f>
        <v>96</v>
      </c>
      <c r="J15" s="13" t="n">
        <f aca="false">IF(E15="TikTok","—",ROUND((C15-SUMIFS($C$5:$C$300,$F$5:$F$300,F15,$E$5:$E$300,"TikTok"))*24,1))</f>
        <v>78.5</v>
      </c>
      <c r="K15" s="14" t="str">
        <f aca="false">IF(AND(OR(I15="—",N(I15)&gt;=Reglas!$C$11),OR(E15="TikTok",AND(N(J15)&gt;=IF(E15="Instagram Reels",Reglas!$C$12,Reglas!$C$14),N(J15)&lt;=IF(E15="Instagram Reels",Reglas!$C$13,Reglas!$C$15)))),"OK","Revisar")</f>
        <v>OK</v>
      </c>
      <c r="L15" s="15" t="n">
        <f aca="false">C15+1/24</f>
        <v>46309.75</v>
      </c>
      <c r="M15" s="15" t="n">
        <f aca="false">C15+3/24</f>
        <v>46309.8333333333</v>
      </c>
      <c r="N15" s="15" t="n">
        <f aca="false">C15+IF(C15&lt;DATE(2026,10,24)+TIME(19,0,0),8,7)/24</f>
        <v>46310.0416666667</v>
      </c>
      <c r="O15" s="16" t="s">
        <v>59</v>
      </c>
      <c r="P15" s="17"/>
      <c r="Q15" s="17"/>
    </row>
    <row r="16" customFormat="false" ht="15" hidden="false" customHeight="false" outlineLevel="0" collapsed="false">
      <c r="A16" s="20" t="n">
        <v>2</v>
      </c>
      <c r="B16" s="20" t="s">
        <v>26</v>
      </c>
      <c r="C16" s="10" t="n">
        <v>46310.8125</v>
      </c>
      <c r="D16" s="11" t="str">
        <f aca="false">CHOOSE(WEEKDAY(C16,2),"lunes","martes","miércoles","jueves","viernes","sábado","domingo")</f>
        <v>jueves</v>
      </c>
      <c r="E16" s="12" t="s">
        <v>55</v>
      </c>
      <c r="F16" s="21" t="s">
        <v>70</v>
      </c>
      <c r="G16" s="21" t="s">
        <v>71</v>
      </c>
      <c r="H16" s="21" t="s">
        <v>69</v>
      </c>
      <c r="I16" s="13" t="n">
        <f aca="false">IF(COUNTIFS($E$5:$E$300,E16,$C$5:$C$300,"&lt;"&amp;C16)=0,"—",ROUND((C16-SUMPRODUCT(MAX(($E$5:$E$300=E16)*($C$5:$C$300&lt;C16)*$C$5:$C$300)))*24,1))</f>
        <v>48</v>
      </c>
      <c r="J16" s="13" t="str">
        <f aca="false">IF(E16="TikTok","—",ROUND((C16-SUMIFS($C$5:$C$300,$F$5:$F$300,F16,$E$5:$E$300,"TikTok"))*24,1))</f>
        <v>—</v>
      </c>
      <c r="K16" s="14" t="str">
        <f aca="false">IF(AND(OR(I16="—",N(I16)&gt;=Reglas!$C$11),OR(E16="TikTok",AND(N(J16)&gt;=IF(E16="Instagram Reels",Reglas!$C$12,Reglas!$C$14),N(J16)&lt;=IF(E16="Instagram Reels",Reglas!$C$13,Reglas!$C$15)))),"OK","Revisar")</f>
        <v>OK</v>
      </c>
      <c r="L16" s="15" t="n">
        <f aca="false">C16+1/24</f>
        <v>46310.8541666667</v>
      </c>
      <c r="M16" s="15" t="n">
        <f aca="false">C16+3/24</f>
        <v>46310.9375</v>
      </c>
      <c r="N16" s="15" t="n">
        <f aca="false">C16+IF(C16&lt;DATE(2026,10,24)+TIME(19,0,0),8,7)/24</f>
        <v>46311.1458333333</v>
      </c>
      <c r="O16" s="16" t="s">
        <v>59</v>
      </c>
      <c r="P16" s="17"/>
      <c r="Q16" s="17"/>
    </row>
    <row r="17" customFormat="false" ht="15" hidden="false" customHeight="false" outlineLevel="0" collapsed="false">
      <c r="A17" s="20" t="n">
        <v>2</v>
      </c>
      <c r="B17" s="20" t="s">
        <v>26</v>
      </c>
      <c r="C17" s="10" t="n">
        <v>46311.5416666667</v>
      </c>
      <c r="D17" s="11" t="str">
        <f aca="false">CHOOSE(WEEKDAY(C17,2),"lunes","martes","miércoles","jueves","viernes","sábado","domingo")</f>
        <v>viernes</v>
      </c>
      <c r="E17" s="18" t="s">
        <v>61</v>
      </c>
      <c r="F17" s="21" t="s">
        <v>70</v>
      </c>
      <c r="G17" s="21" t="s">
        <v>71</v>
      </c>
      <c r="H17" s="21" t="s">
        <v>69</v>
      </c>
      <c r="I17" s="13" t="n">
        <f aca="false">IF(COUNTIFS($E$5:$E$300,E17,$C$5:$C$300,"&lt;"&amp;C17)=0,"—",ROUND((C17-SUMPRODUCT(MAX(($E$5:$E$300=E17)*($C$5:$C$300&lt;C17)*$C$5:$C$300)))*24,1))</f>
        <v>48</v>
      </c>
      <c r="J17" s="13" t="n">
        <f aca="false">IF(E17="TikTok","—",ROUND((C17-SUMIFS($C$5:$C$300,$F$5:$F$300,F17,$E$5:$E$300,"TikTok"))*24,1))</f>
        <v>17.5</v>
      </c>
      <c r="K17" s="14" t="str">
        <f aca="false">IF(AND(OR(I17="—",N(I17)&gt;=Reglas!$C$11),OR(E17="TikTok",AND(N(J17)&gt;=IF(E17="Instagram Reels",Reglas!$C$12,Reglas!$C$14),N(J17)&lt;=IF(E17="Instagram Reels",Reglas!$C$13,Reglas!$C$15)))),"OK","Revisar")</f>
        <v>OK</v>
      </c>
      <c r="L17" s="15" t="n">
        <f aca="false">C17+1/24</f>
        <v>46311.5833333333</v>
      </c>
      <c r="M17" s="15" t="n">
        <f aca="false">C17+3/24</f>
        <v>46311.6666666667</v>
      </c>
      <c r="N17" s="15" t="n">
        <f aca="false">C17+IF(C17&lt;DATE(2026,10,24)+TIME(19,0,0),8,7)/24</f>
        <v>46311.875</v>
      </c>
      <c r="O17" s="16" t="s">
        <v>59</v>
      </c>
      <c r="P17" s="17"/>
      <c r="Q17" s="17"/>
    </row>
    <row r="18" customFormat="false" ht="15" hidden="false" customHeight="false" outlineLevel="0" collapsed="false">
      <c r="A18" s="20" t="n">
        <v>2</v>
      </c>
      <c r="B18" s="20" t="s">
        <v>22</v>
      </c>
      <c r="C18" s="10" t="n">
        <v>46311.7083333333</v>
      </c>
      <c r="D18" s="11" t="str">
        <f aca="false">CHOOSE(WEEKDAY(C18,2),"lunes","martes","miércoles","jueves","viernes","sábado","domingo")</f>
        <v>viernes</v>
      </c>
      <c r="E18" s="19" t="s">
        <v>64</v>
      </c>
      <c r="F18" s="21" t="s">
        <v>67</v>
      </c>
      <c r="G18" s="21" t="s">
        <v>68</v>
      </c>
      <c r="H18" s="21" t="s">
        <v>69</v>
      </c>
      <c r="I18" s="13" t="n">
        <f aca="false">IF(COUNTIFS($E$5:$E$300,E18,$C$5:$C$300,"&lt;"&amp;C18)=0,"—",ROUND((C18-SUMPRODUCT(MAX(($E$5:$E$300=E18)*($C$5:$C$300&lt;C18)*$C$5:$C$300)))*24,1))</f>
        <v>48</v>
      </c>
      <c r="J18" s="13" t="n">
        <f aca="false">IF(E18="TikTok","—",ROUND((C18-SUMIFS($C$5:$C$300,$F$5:$F$300,F18,$E$5:$E$300,"TikTok"))*24,1))</f>
        <v>69.5</v>
      </c>
      <c r="K18" s="14" t="str">
        <f aca="false">IF(AND(OR(I18="—",N(I18)&gt;=Reglas!$C$11),OR(E18="TikTok",AND(N(J18)&gt;=IF(E18="Instagram Reels",Reglas!$C$12,Reglas!$C$14),N(J18)&lt;=IF(E18="Instagram Reels",Reglas!$C$13,Reglas!$C$15)))),"OK","Revisar")</f>
        <v>OK</v>
      </c>
      <c r="L18" s="15" t="n">
        <f aca="false">C18+1/24</f>
        <v>46311.75</v>
      </c>
      <c r="M18" s="15" t="n">
        <f aca="false">C18+3/24</f>
        <v>46311.8333333333</v>
      </c>
      <c r="N18" s="15" t="n">
        <f aca="false">C18+IF(C18&lt;DATE(2026,10,24)+TIME(19,0,0),8,7)/24</f>
        <v>46312.0416666667</v>
      </c>
      <c r="O18" s="16" t="s">
        <v>59</v>
      </c>
      <c r="P18" s="17"/>
      <c r="Q18" s="17"/>
    </row>
    <row r="19" customFormat="false" ht="15" hidden="false" customHeight="false" outlineLevel="0" collapsed="false">
      <c r="A19" s="20" t="n">
        <v>2</v>
      </c>
      <c r="B19" s="20" t="s">
        <v>26</v>
      </c>
      <c r="C19" s="10" t="n">
        <v>46312.7083333333</v>
      </c>
      <c r="D19" s="11" t="str">
        <f aca="false">CHOOSE(WEEKDAY(C19,2),"lunes","martes","miércoles","jueves","viernes","sábado","domingo")</f>
        <v>sábado</v>
      </c>
      <c r="E19" s="19" t="s">
        <v>64</v>
      </c>
      <c r="F19" s="21" t="s">
        <v>70</v>
      </c>
      <c r="G19" s="21" t="s">
        <v>71</v>
      </c>
      <c r="H19" s="21" t="s">
        <v>69</v>
      </c>
      <c r="I19" s="13" t="n">
        <f aca="false">IF(COUNTIFS($E$5:$E$300,E19,$C$5:$C$300,"&lt;"&amp;C19)=0,"—",ROUND((C19-SUMPRODUCT(MAX(($E$5:$E$300=E19)*($C$5:$C$300&lt;C19)*$C$5:$C$300)))*24,1))</f>
        <v>24</v>
      </c>
      <c r="J19" s="13" t="n">
        <f aca="false">IF(E19="TikTok","—",ROUND((C19-SUMIFS($C$5:$C$300,$F$5:$F$300,F19,$E$5:$E$300,"TikTok"))*24,1))</f>
        <v>45.5</v>
      </c>
      <c r="K19" s="14" t="str">
        <f aca="false">IF(AND(OR(I19="—",N(I19)&gt;=Reglas!$C$11),OR(E19="TikTok",AND(N(J19)&gt;=IF(E19="Instagram Reels",Reglas!$C$12,Reglas!$C$14),N(J19)&lt;=IF(E19="Instagram Reels",Reglas!$C$13,Reglas!$C$15)))),"OK","Revisar")</f>
        <v>OK</v>
      </c>
      <c r="L19" s="15" t="n">
        <f aca="false">C19+1/24</f>
        <v>46312.75</v>
      </c>
      <c r="M19" s="15" t="n">
        <f aca="false">C19+3/24</f>
        <v>46312.8333333333</v>
      </c>
      <c r="N19" s="15" t="n">
        <f aca="false">C19+IF(C19&lt;DATE(2026,10,24)+TIME(19,0,0),8,7)/24</f>
        <v>46313.0416666667</v>
      </c>
      <c r="O19" s="16" t="s">
        <v>59</v>
      </c>
      <c r="P19" s="17"/>
      <c r="Q19" s="17"/>
    </row>
    <row r="20" customFormat="false" ht="15" hidden="false" customHeight="false" outlineLevel="0" collapsed="false">
      <c r="A20" s="20" t="n">
        <v>2</v>
      </c>
      <c r="B20" s="20" t="s">
        <v>30</v>
      </c>
      <c r="C20" s="10" t="n">
        <v>46313.4375</v>
      </c>
      <c r="D20" s="11" t="str">
        <f aca="false">CHOOSE(WEEKDAY(C20,2),"lunes","martes","miércoles","jueves","viernes","sábado","domingo")</f>
        <v>domingo</v>
      </c>
      <c r="E20" s="12" t="s">
        <v>55</v>
      </c>
      <c r="F20" s="21" t="s">
        <v>72</v>
      </c>
      <c r="G20" s="21" t="s">
        <v>73</v>
      </c>
      <c r="H20" s="21" t="s">
        <v>69</v>
      </c>
      <c r="I20" s="13" t="n">
        <f aca="false">IF(COUNTIFS($E$5:$E$300,E20,$C$5:$C$300,"&lt;"&amp;C20)=0,"—",ROUND((C20-SUMPRODUCT(MAX(($E$5:$E$300=E20)*($C$5:$C$300&lt;C20)*$C$5:$C$300)))*24,1))</f>
        <v>63</v>
      </c>
      <c r="J20" s="13" t="str">
        <f aca="false">IF(E20="TikTok","—",ROUND((C20-SUMIFS($C$5:$C$300,$F$5:$F$300,F20,$E$5:$E$300,"TikTok"))*24,1))</f>
        <v>—</v>
      </c>
      <c r="K20" s="14" t="str">
        <f aca="false">IF(AND(OR(I20="—",N(I20)&gt;=Reglas!$C$11),OR(E20="TikTok",AND(N(J20)&gt;=IF(E20="Instagram Reels",Reglas!$C$12,Reglas!$C$14),N(J20)&lt;=IF(E20="Instagram Reels",Reglas!$C$13,Reglas!$C$15)))),"OK","Revisar")</f>
        <v>OK</v>
      </c>
      <c r="L20" s="15" t="n">
        <f aca="false">C20+1/24</f>
        <v>46313.4791666667</v>
      </c>
      <c r="M20" s="15" t="n">
        <f aca="false">C20+3/24</f>
        <v>46313.5625</v>
      </c>
      <c r="N20" s="15" t="n">
        <f aca="false">C20+IF(C20&lt;DATE(2026,10,24)+TIME(19,0,0),8,7)/24</f>
        <v>46313.7708333333</v>
      </c>
      <c r="O20" s="16" t="s">
        <v>59</v>
      </c>
      <c r="P20" s="17"/>
      <c r="Q20" s="17"/>
    </row>
    <row r="21" customFormat="false" ht="15" hidden="false" customHeight="false" outlineLevel="0" collapsed="false">
      <c r="A21" s="20" t="n">
        <v>2</v>
      </c>
      <c r="B21" s="20" t="s">
        <v>30</v>
      </c>
      <c r="C21" s="10" t="n">
        <v>46314.5416666667</v>
      </c>
      <c r="D21" s="11" t="str">
        <f aca="false">CHOOSE(WEEKDAY(C21,2),"lunes","martes","miércoles","jueves","viernes","sábado","domingo")</f>
        <v>lunes</v>
      </c>
      <c r="E21" s="18" t="s">
        <v>61</v>
      </c>
      <c r="F21" s="21" t="s">
        <v>72</v>
      </c>
      <c r="G21" s="21" t="s">
        <v>73</v>
      </c>
      <c r="H21" s="21" t="s">
        <v>69</v>
      </c>
      <c r="I21" s="13" t="n">
        <f aca="false">IF(COUNTIFS($E$5:$E$300,E21,$C$5:$C$300,"&lt;"&amp;C21)=0,"—",ROUND((C21-SUMPRODUCT(MAX(($E$5:$E$300=E21)*($C$5:$C$300&lt;C21)*$C$5:$C$300)))*24,1))</f>
        <v>72</v>
      </c>
      <c r="J21" s="13" t="n">
        <f aca="false">IF(E21="TikTok","—",ROUND((C21-SUMIFS($C$5:$C$300,$F$5:$F$300,F21,$E$5:$E$300,"TikTok"))*24,1))</f>
        <v>26.5</v>
      </c>
      <c r="K21" s="14" t="str">
        <f aca="false">IF(AND(OR(I21="—",N(I21)&gt;=Reglas!$C$11),OR(E21="TikTok",AND(N(J21)&gt;=IF(E21="Instagram Reels",Reglas!$C$12,Reglas!$C$14),N(J21)&lt;=IF(E21="Instagram Reels",Reglas!$C$13,Reglas!$C$15)))),"OK","Revisar")</f>
        <v>OK</v>
      </c>
      <c r="L21" s="15" t="n">
        <f aca="false">C21+1/24</f>
        <v>46314.5833333333</v>
      </c>
      <c r="M21" s="15" t="n">
        <f aca="false">C21+3/24</f>
        <v>46314.6666666667</v>
      </c>
      <c r="N21" s="15" t="n">
        <f aca="false">C21+IF(C21&lt;DATE(2026,10,24)+TIME(19,0,0),8,7)/24</f>
        <v>46314.875</v>
      </c>
      <c r="O21" s="16" t="s">
        <v>59</v>
      </c>
      <c r="P21" s="17"/>
      <c r="Q21" s="17"/>
    </row>
    <row r="22" customFormat="false" ht="15" hidden="false" customHeight="false" outlineLevel="0" collapsed="false">
      <c r="A22" s="9" t="n">
        <v>3</v>
      </c>
      <c r="B22" s="9" t="s">
        <v>22</v>
      </c>
      <c r="C22" s="10" t="n">
        <v>46315.5416666667</v>
      </c>
      <c r="D22" s="11" t="str">
        <f aca="false">CHOOSE(WEEKDAY(C22,2),"lunes","martes","miércoles","jueves","viernes","sábado","domingo")</f>
        <v>martes</v>
      </c>
      <c r="E22" s="12" t="s">
        <v>55</v>
      </c>
      <c r="F22" s="5" t="s">
        <v>74</v>
      </c>
      <c r="G22" s="5" t="s">
        <v>75</v>
      </c>
      <c r="H22" s="5" t="s">
        <v>76</v>
      </c>
      <c r="I22" s="13" t="n">
        <f aca="false">IF(COUNTIFS($E$5:$E$300,E22,$C$5:$C$300,"&lt;"&amp;C22)=0,"—",ROUND((C22-SUMPRODUCT(MAX(($E$5:$E$300=E22)*($C$5:$C$300&lt;C22)*$C$5:$C$300)))*24,1))</f>
        <v>50.5</v>
      </c>
      <c r="J22" s="13" t="str">
        <f aca="false">IF(E22="TikTok","—",ROUND((C22-SUMIFS($C$5:$C$300,$F$5:$F$300,F22,$E$5:$E$300,"TikTok"))*24,1))</f>
        <v>—</v>
      </c>
      <c r="K22" s="14" t="str">
        <f aca="false">IF(AND(OR(I22="—",N(I22)&gt;=Reglas!$C$11),OR(E22="TikTok",AND(N(J22)&gt;=IF(E22="Instagram Reels",Reglas!$C$12,Reglas!$C$14),N(J22)&lt;=IF(E22="Instagram Reels",Reglas!$C$13,Reglas!$C$15)))),"OK","Revisar")</f>
        <v>OK</v>
      </c>
      <c r="L22" s="15" t="n">
        <f aca="false">C22+1/24</f>
        <v>46315.5833333333</v>
      </c>
      <c r="M22" s="15" t="n">
        <f aca="false">C22+3/24</f>
        <v>46315.6666666667</v>
      </c>
      <c r="N22" s="15" t="n">
        <f aca="false">C22+IF(C22&lt;DATE(2026,10,24)+TIME(19,0,0),8,7)/24</f>
        <v>46315.875</v>
      </c>
      <c r="O22" s="16" t="s">
        <v>59</v>
      </c>
      <c r="P22" s="17"/>
      <c r="Q22" s="17"/>
    </row>
    <row r="23" customFormat="false" ht="15" hidden="false" customHeight="false" outlineLevel="0" collapsed="false">
      <c r="A23" s="9" t="n">
        <v>3</v>
      </c>
      <c r="B23" s="9" t="s">
        <v>22</v>
      </c>
      <c r="C23" s="10" t="n">
        <v>46316.5416666667</v>
      </c>
      <c r="D23" s="11" t="str">
        <f aca="false">CHOOSE(WEEKDAY(C23,2),"lunes","martes","miércoles","jueves","viernes","sábado","domingo")</f>
        <v>miércoles</v>
      </c>
      <c r="E23" s="18" t="s">
        <v>61</v>
      </c>
      <c r="F23" s="5" t="s">
        <v>74</v>
      </c>
      <c r="G23" s="5" t="s">
        <v>77</v>
      </c>
      <c r="H23" s="5" t="s">
        <v>76</v>
      </c>
      <c r="I23" s="13" t="n">
        <f aca="false">IF(COUNTIFS($E$5:$E$300,E23,$C$5:$C$300,"&lt;"&amp;C23)=0,"—",ROUND((C23-SUMPRODUCT(MAX(($E$5:$E$300=E23)*($C$5:$C$300&lt;C23)*$C$5:$C$300)))*24,1))</f>
        <v>48</v>
      </c>
      <c r="J23" s="13" t="n">
        <f aca="false">IF(E23="TikTok","—",ROUND((C23-SUMIFS($C$5:$C$300,$F$5:$F$300,F23,$E$5:$E$300,"TikTok"))*24,1))</f>
        <v>24</v>
      </c>
      <c r="K23" s="14" t="str">
        <f aca="false">IF(AND(OR(I23="—",N(I23)&gt;=Reglas!$C$11),OR(E23="TikTok",AND(N(J23)&gt;=IF(E23="Instagram Reels",Reglas!$C$12,Reglas!$C$14),N(J23)&lt;=IF(E23="Instagram Reels",Reglas!$C$13,Reglas!$C$15)))),"OK","Revisar")</f>
        <v>OK</v>
      </c>
      <c r="L23" s="15" t="n">
        <f aca="false">C23+1/24</f>
        <v>46316.5833333333</v>
      </c>
      <c r="M23" s="15" t="n">
        <f aca="false">C23+3/24</f>
        <v>46316.6666666667</v>
      </c>
      <c r="N23" s="15" t="n">
        <f aca="false">C23+IF(C23&lt;DATE(2026,10,24)+TIME(19,0,0),8,7)/24</f>
        <v>46316.875</v>
      </c>
      <c r="O23" s="16" t="s">
        <v>59</v>
      </c>
      <c r="P23" s="17"/>
      <c r="Q23" s="17"/>
    </row>
    <row r="24" customFormat="false" ht="15" hidden="false" customHeight="false" outlineLevel="0" collapsed="false">
      <c r="A24" s="20" t="n">
        <v>2</v>
      </c>
      <c r="B24" s="20" t="s">
        <v>30</v>
      </c>
      <c r="C24" s="10" t="n">
        <v>46316.7083333333</v>
      </c>
      <c r="D24" s="11" t="str">
        <f aca="false">CHOOSE(WEEKDAY(C24,2),"lunes","martes","miércoles","jueves","viernes","sábado","domingo")</f>
        <v>miércoles</v>
      </c>
      <c r="E24" s="19" t="s">
        <v>64</v>
      </c>
      <c r="F24" s="21" t="s">
        <v>72</v>
      </c>
      <c r="G24" s="21" t="s">
        <v>73</v>
      </c>
      <c r="H24" s="21" t="s">
        <v>69</v>
      </c>
      <c r="I24" s="13" t="n">
        <f aca="false">IF(COUNTIFS($E$5:$E$300,E24,$C$5:$C$300,"&lt;"&amp;C24)=0,"—",ROUND((C24-SUMPRODUCT(MAX(($E$5:$E$300=E24)*($C$5:$C$300&lt;C24)*$C$5:$C$300)))*24,1))</f>
        <v>96</v>
      </c>
      <c r="J24" s="13" t="n">
        <f aca="false">IF(E24="TikTok","—",ROUND((C24-SUMIFS($C$5:$C$300,$F$5:$F$300,F24,$E$5:$E$300,"TikTok"))*24,1))</f>
        <v>78.5</v>
      </c>
      <c r="K24" s="14" t="str">
        <f aca="false">IF(AND(OR(I24="—",N(I24)&gt;=Reglas!$C$11),OR(E24="TikTok",AND(N(J24)&gt;=IF(E24="Instagram Reels",Reglas!$C$12,Reglas!$C$14),N(J24)&lt;=IF(E24="Instagram Reels",Reglas!$C$13,Reglas!$C$15)))),"OK","Revisar")</f>
        <v>OK</v>
      </c>
      <c r="L24" s="15" t="n">
        <f aca="false">C24+1/24</f>
        <v>46316.75</v>
      </c>
      <c r="M24" s="15" t="n">
        <f aca="false">C24+3/24</f>
        <v>46316.8333333333</v>
      </c>
      <c r="N24" s="15" t="n">
        <f aca="false">C24+IF(C24&lt;DATE(2026,10,24)+TIME(19,0,0),8,7)/24</f>
        <v>46317.0416666667</v>
      </c>
      <c r="O24" s="16" t="s">
        <v>59</v>
      </c>
      <c r="P24" s="17"/>
      <c r="Q24" s="17"/>
    </row>
    <row r="25" customFormat="false" ht="15" hidden="false" customHeight="false" outlineLevel="0" collapsed="false">
      <c r="A25" s="9" t="n">
        <v>3</v>
      </c>
      <c r="B25" s="9" t="s">
        <v>26</v>
      </c>
      <c r="C25" s="10" t="n">
        <v>46317.5416666667</v>
      </c>
      <c r="D25" s="11" t="str">
        <f aca="false">CHOOSE(WEEKDAY(C25,2),"lunes","martes","miércoles","jueves","viernes","sábado","domingo")</f>
        <v>jueves</v>
      </c>
      <c r="E25" s="12" t="s">
        <v>55</v>
      </c>
      <c r="F25" s="5" t="s">
        <v>78</v>
      </c>
      <c r="G25" s="5" t="s">
        <v>79</v>
      </c>
      <c r="H25" s="5" t="s">
        <v>76</v>
      </c>
      <c r="I25" s="13" t="n">
        <f aca="false">IF(COUNTIFS($E$5:$E$300,E25,$C$5:$C$300,"&lt;"&amp;C25)=0,"—",ROUND((C25-SUMPRODUCT(MAX(($E$5:$E$300=E25)*($C$5:$C$300&lt;C25)*$C$5:$C$300)))*24,1))</f>
        <v>48</v>
      </c>
      <c r="J25" s="13" t="str">
        <f aca="false">IF(E25="TikTok","—",ROUND((C25-SUMIFS($C$5:$C$300,$F$5:$F$300,F25,$E$5:$E$300,"TikTok"))*24,1))</f>
        <v>—</v>
      </c>
      <c r="K25" s="14" t="str">
        <f aca="false">IF(AND(OR(I25="—",N(I25)&gt;=Reglas!$C$11),OR(E25="TikTok",AND(N(J25)&gt;=IF(E25="Instagram Reels",Reglas!$C$12,Reglas!$C$14),N(J25)&lt;=IF(E25="Instagram Reels",Reglas!$C$13,Reglas!$C$15)))),"OK","Revisar")</f>
        <v>OK</v>
      </c>
      <c r="L25" s="15" t="n">
        <f aca="false">C25+1/24</f>
        <v>46317.5833333333</v>
      </c>
      <c r="M25" s="15" t="n">
        <f aca="false">C25+3/24</f>
        <v>46317.6666666667</v>
      </c>
      <c r="N25" s="15" t="n">
        <f aca="false">C25+IF(C25&lt;DATE(2026,10,24)+TIME(19,0,0),8,7)/24</f>
        <v>46317.875</v>
      </c>
      <c r="O25" s="16" t="s">
        <v>59</v>
      </c>
      <c r="P25" s="17"/>
      <c r="Q25" s="17"/>
    </row>
    <row r="26" customFormat="false" ht="15" hidden="false" customHeight="false" outlineLevel="0" collapsed="false">
      <c r="A26" s="9" t="n">
        <v>3</v>
      </c>
      <c r="B26" s="9" t="s">
        <v>26</v>
      </c>
      <c r="C26" s="10" t="n">
        <v>46318.5416666667</v>
      </c>
      <c r="D26" s="11" t="str">
        <f aca="false">CHOOSE(WEEKDAY(C26,2),"lunes","martes","miércoles","jueves","viernes","sábado","domingo")</f>
        <v>viernes</v>
      </c>
      <c r="E26" s="18" t="s">
        <v>61</v>
      </c>
      <c r="F26" s="5" t="s">
        <v>78</v>
      </c>
      <c r="G26" s="5" t="s">
        <v>80</v>
      </c>
      <c r="H26" s="5" t="s">
        <v>76</v>
      </c>
      <c r="I26" s="13" t="n">
        <f aca="false">IF(COUNTIFS($E$5:$E$300,E26,$C$5:$C$300,"&lt;"&amp;C26)=0,"—",ROUND((C26-SUMPRODUCT(MAX(($E$5:$E$300=E26)*($C$5:$C$300&lt;C26)*$C$5:$C$300)))*24,1))</f>
        <v>48</v>
      </c>
      <c r="J26" s="13" t="n">
        <f aca="false">IF(E26="TikTok","—",ROUND((C26-SUMIFS($C$5:$C$300,$F$5:$F$300,F26,$E$5:$E$300,"TikTok"))*24,1))</f>
        <v>24</v>
      </c>
      <c r="K26" s="14" t="str">
        <f aca="false">IF(AND(OR(I26="—",N(I26)&gt;=Reglas!$C$11),OR(E26="TikTok",AND(N(J26)&gt;=IF(E26="Instagram Reels",Reglas!$C$12,Reglas!$C$14),N(J26)&lt;=IF(E26="Instagram Reels",Reglas!$C$13,Reglas!$C$15)))),"OK","Revisar")</f>
        <v>OK</v>
      </c>
      <c r="L26" s="15" t="n">
        <f aca="false">C26+1/24</f>
        <v>46318.5833333333</v>
      </c>
      <c r="M26" s="15" t="n">
        <f aca="false">C26+3/24</f>
        <v>46318.6666666667</v>
      </c>
      <c r="N26" s="15" t="n">
        <f aca="false">C26+IF(C26&lt;DATE(2026,10,24)+TIME(19,0,0),8,7)/24</f>
        <v>46318.875</v>
      </c>
      <c r="O26" s="16" t="s">
        <v>59</v>
      </c>
      <c r="P26" s="17"/>
      <c r="Q26" s="17"/>
    </row>
    <row r="27" customFormat="false" ht="15" hidden="false" customHeight="false" outlineLevel="0" collapsed="false">
      <c r="A27" s="9" t="n">
        <v>3</v>
      </c>
      <c r="B27" s="9" t="s">
        <v>22</v>
      </c>
      <c r="C27" s="10" t="n">
        <v>46318.7083333333</v>
      </c>
      <c r="D27" s="11" t="str">
        <f aca="false">CHOOSE(WEEKDAY(C27,2),"lunes","martes","miércoles","jueves","viernes","sábado","domingo")</f>
        <v>viernes</v>
      </c>
      <c r="E27" s="19" t="s">
        <v>64</v>
      </c>
      <c r="F27" s="5" t="s">
        <v>74</v>
      </c>
      <c r="G27" s="5" t="s">
        <v>77</v>
      </c>
      <c r="H27" s="5" t="s">
        <v>76</v>
      </c>
      <c r="I27" s="13" t="n">
        <f aca="false">IF(COUNTIFS($E$5:$E$300,E27,$C$5:$C$300,"&lt;"&amp;C27)=0,"—",ROUND((C27-SUMPRODUCT(MAX(($E$5:$E$300=E27)*($C$5:$C$300&lt;C27)*$C$5:$C$300)))*24,1))</f>
        <v>48</v>
      </c>
      <c r="J27" s="13" t="n">
        <f aca="false">IF(E27="TikTok","—",ROUND((C27-SUMIFS($C$5:$C$300,$F$5:$F$300,F27,$E$5:$E$300,"TikTok"))*24,1))</f>
        <v>76</v>
      </c>
      <c r="K27" s="14" t="str">
        <f aca="false">IF(AND(OR(I27="—",N(I27)&gt;=Reglas!$C$11),OR(E27="TikTok",AND(N(J27)&gt;=IF(E27="Instagram Reels",Reglas!$C$12,Reglas!$C$14),N(J27)&lt;=IF(E27="Instagram Reels",Reglas!$C$13,Reglas!$C$15)))),"OK","Revisar")</f>
        <v>OK</v>
      </c>
      <c r="L27" s="15" t="n">
        <f aca="false">C27+1/24</f>
        <v>46318.75</v>
      </c>
      <c r="M27" s="15" t="n">
        <f aca="false">C27+3/24</f>
        <v>46318.8333333333</v>
      </c>
      <c r="N27" s="15" t="n">
        <f aca="false">C27+IF(C27&lt;DATE(2026,10,24)+TIME(19,0,0),8,7)/24</f>
        <v>46319.0416666667</v>
      </c>
      <c r="O27" s="16" t="s">
        <v>59</v>
      </c>
      <c r="P27" s="17"/>
      <c r="Q27" s="17"/>
    </row>
    <row r="28" customFormat="false" ht="15" hidden="false" customHeight="false" outlineLevel="0" collapsed="false">
      <c r="A28" s="9" t="n">
        <v>3</v>
      </c>
      <c r="B28" s="9" t="s">
        <v>26</v>
      </c>
      <c r="C28" s="10" t="n">
        <v>46319.7083333333</v>
      </c>
      <c r="D28" s="11" t="str">
        <f aca="false">CHOOSE(WEEKDAY(C28,2),"lunes","martes","miércoles","jueves","viernes","sábado","domingo")</f>
        <v>sábado</v>
      </c>
      <c r="E28" s="19" t="s">
        <v>64</v>
      </c>
      <c r="F28" s="5" t="s">
        <v>78</v>
      </c>
      <c r="G28" s="5" t="s">
        <v>80</v>
      </c>
      <c r="H28" s="5" t="s">
        <v>76</v>
      </c>
      <c r="I28" s="13" t="n">
        <f aca="false">IF(COUNTIFS($E$5:$E$300,E28,$C$5:$C$300,"&lt;"&amp;C28)=0,"—",ROUND((C28-SUMPRODUCT(MAX(($E$5:$E$300=E28)*($C$5:$C$300&lt;C28)*$C$5:$C$300)))*24,1))</f>
        <v>24</v>
      </c>
      <c r="J28" s="13" t="n">
        <f aca="false">IF(E28="TikTok","—",ROUND((C28-SUMIFS($C$5:$C$300,$F$5:$F$300,F28,$E$5:$E$300,"TikTok"))*24,1))</f>
        <v>52</v>
      </c>
      <c r="K28" s="14" t="str">
        <f aca="false">IF(AND(OR(I28="—",N(I28)&gt;=Reglas!$C$11),OR(E28="TikTok",AND(N(J28)&gt;=IF(E28="Instagram Reels",Reglas!$C$12,Reglas!$C$14),N(J28)&lt;=IF(E28="Instagram Reels",Reglas!$C$13,Reglas!$C$15)))),"OK","Revisar")</f>
        <v>OK</v>
      </c>
      <c r="L28" s="15" t="n">
        <f aca="false">C28+1/24</f>
        <v>46319.75</v>
      </c>
      <c r="M28" s="15" t="n">
        <f aca="false">C28+3/24</f>
        <v>46319.8333333333</v>
      </c>
      <c r="N28" s="15" t="n">
        <f aca="false">C28+IF(C28&lt;DATE(2026,10,24)+TIME(19,0,0),8,7)/24</f>
        <v>46320.0416666667</v>
      </c>
      <c r="O28" s="16" t="s">
        <v>59</v>
      </c>
      <c r="P28" s="17"/>
      <c r="Q28" s="17"/>
    </row>
    <row r="29" customFormat="false" ht="15" hidden="false" customHeight="false" outlineLevel="0" collapsed="false">
      <c r="A29" s="9" t="n">
        <v>3</v>
      </c>
      <c r="B29" s="9" t="s">
        <v>30</v>
      </c>
      <c r="C29" s="10" t="n">
        <v>46320.4375</v>
      </c>
      <c r="D29" s="11" t="str">
        <f aca="false">CHOOSE(WEEKDAY(C29,2),"lunes","martes","miércoles","jueves","viernes","sábado","domingo")</f>
        <v>domingo</v>
      </c>
      <c r="E29" s="12" t="s">
        <v>55</v>
      </c>
      <c r="F29" s="5" t="s">
        <v>81</v>
      </c>
      <c r="G29" s="5" t="s">
        <v>82</v>
      </c>
      <c r="H29" s="5" t="s">
        <v>76</v>
      </c>
      <c r="I29" s="13" t="n">
        <f aca="false">IF(COUNTIFS($E$5:$E$300,E29,$C$5:$C$300,"&lt;"&amp;C29)=0,"—",ROUND((C29-SUMPRODUCT(MAX(($E$5:$E$300=E29)*($C$5:$C$300&lt;C29)*$C$5:$C$300)))*24,1))</f>
        <v>69.5</v>
      </c>
      <c r="J29" s="13" t="str">
        <f aca="false">IF(E29="TikTok","—",ROUND((C29-SUMIFS($C$5:$C$300,$F$5:$F$300,F29,$E$5:$E$300,"TikTok"))*24,1))</f>
        <v>—</v>
      </c>
      <c r="K29" s="14" t="str">
        <f aca="false">IF(AND(OR(I29="—",N(I29)&gt;=Reglas!$C$11),OR(E29="TikTok",AND(N(J29)&gt;=IF(E29="Instagram Reels",Reglas!$C$12,Reglas!$C$14),N(J29)&lt;=IF(E29="Instagram Reels",Reglas!$C$13,Reglas!$C$15)))),"OK","Revisar")</f>
        <v>OK</v>
      </c>
      <c r="L29" s="15" t="n">
        <f aca="false">C29+1/24</f>
        <v>46320.4791666667</v>
      </c>
      <c r="M29" s="15" t="n">
        <f aca="false">C29+3/24</f>
        <v>46320.5625</v>
      </c>
      <c r="N29" s="15" t="n">
        <f aca="false">C29+IF(C29&lt;DATE(2026,10,24)+TIME(19,0,0),8,7)/24</f>
        <v>46320.7291666667</v>
      </c>
      <c r="O29" s="16" t="s">
        <v>59</v>
      </c>
      <c r="P29" s="17"/>
      <c r="Q29" s="17"/>
    </row>
    <row r="30" customFormat="false" ht="15" hidden="false" customHeight="false" outlineLevel="0" collapsed="false">
      <c r="A30" s="9" t="n">
        <v>3</v>
      </c>
      <c r="B30" s="9" t="s">
        <v>30</v>
      </c>
      <c r="C30" s="10" t="n">
        <v>46321.5416666667</v>
      </c>
      <c r="D30" s="11" t="str">
        <f aca="false">CHOOSE(WEEKDAY(C30,2),"lunes","martes","miércoles","jueves","viernes","sábado","domingo")</f>
        <v>lunes</v>
      </c>
      <c r="E30" s="18" t="s">
        <v>61</v>
      </c>
      <c r="F30" s="5" t="s">
        <v>81</v>
      </c>
      <c r="G30" s="5" t="s">
        <v>82</v>
      </c>
      <c r="H30" s="5" t="s">
        <v>76</v>
      </c>
      <c r="I30" s="13" t="n">
        <f aca="false">IF(COUNTIFS($E$5:$E$300,E30,$C$5:$C$300,"&lt;"&amp;C30)=0,"—",ROUND((C30-SUMPRODUCT(MAX(($E$5:$E$300=E30)*($C$5:$C$300&lt;C30)*$C$5:$C$300)))*24,1))</f>
        <v>72</v>
      </c>
      <c r="J30" s="13" t="n">
        <f aca="false">IF(E30="TikTok","—",ROUND((C30-SUMIFS($C$5:$C$300,$F$5:$F$300,F30,$E$5:$E$300,"TikTok"))*24,1))</f>
        <v>26.5</v>
      </c>
      <c r="K30" s="14" t="str">
        <f aca="false">IF(AND(OR(I30="—",N(I30)&gt;=Reglas!$C$11),OR(E30="TikTok",AND(N(J30)&gt;=IF(E30="Instagram Reels",Reglas!$C$12,Reglas!$C$14),N(J30)&lt;=IF(E30="Instagram Reels",Reglas!$C$13,Reglas!$C$15)))),"OK","Revisar")</f>
        <v>OK</v>
      </c>
      <c r="L30" s="15" t="n">
        <f aca="false">C30+1/24</f>
        <v>46321.5833333333</v>
      </c>
      <c r="M30" s="15" t="n">
        <f aca="false">C30+3/24</f>
        <v>46321.6666666667</v>
      </c>
      <c r="N30" s="15" t="n">
        <f aca="false">C30+IF(C30&lt;DATE(2026,10,24)+TIME(19,0,0),8,7)/24</f>
        <v>46321.8333333333</v>
      </c>
      <c r="O30" s="16" t="s">
        <v>59</v>
      </c>
      <c r="P30" s="17"/>
      <c r="Q30" s="17"/>
    </row>
    <row r="31" customFormat="false" ht="15" hidden="false" customHeight="false" outlineLevel="0" collapsed="false">
      <c r="A31" s="20" t="n">
        <v>4</v>
      </c>
      <c r="B31" s="20" t="s">
        <v>22</v>
      </c>
      <c r="C31" s="10" t="n">
        <v>46322.5416666667</v>
      </c>
      <c r="D31" s="11" t="str">
        <f aca="false">CHOOSE(WEEKDAY(C31,2),"lunes","martes","miércoles","jueves","viernes","sábado","domingo")</f>
        <v>martes</v>
      </c>
      <c r="E31" s="12" t="s">
        <v>55</v>
      </c>
      <c r="F31" s="21" t="s">
        <v>83</v>
      </c>
      <c r="G31" s="21" t="s">
        <v>84</v>
      </c>
      <c r="H31" s="21" t="s">
        <v>76</v>
      </c>
      <c r="I31" s="13" t="n">
        <f aca="false">IF(COUNTIFS($E$5:$E$300,E31,$C$5:$C$300,"&lt;"&amp;C31)=0,"—",ROUND((C31-SUMPRODUCT(MAX(($E$5:$E$300=E31)*($C$5:$C$300&lt;C31)*$C$5:$C$300)))*24,1))</f>
        <v>50.5</v>
      </c>
      <c r="J31" s="13" t="str">
        <f aca="false">IF(E31="TikTok","—",ROUND((C31-SUMIFS($C$5:$C$300,$F$5:$F$300,F31,$E$5:$E$300,"TikTok"))*24,1))</f>
        <v>—</v>
      </c>
      <c r="K31" s="14" t="str">
        <f aca="false">IF(AND(OR(I31="—",N(I31)&gt;=Reglas!$C$11),OR(E31="TikTok",AND(N(J31)&gt;=IF(E31="Instagram Reels",Reglas!$C$12,Reglas!$C$14),N(J31)&lt;=IF(E31="Instagram Reels",Reglas!$C$13,Reglas!$C$15)))),"OK","Revisar")</f>
        <v>OK</v>
      </c>
      <c r="L31" s="15" t="n">
        <f aca="false">C31+1/24</f>
        <v>46322.5833333333</v>
      </c>
      <c r="M31" s="15" t="n">
        <f aca="false">C31+3/24</f>
        <v>46322.6666666667</v>
      </c>
      <c r="N31" s="15" t="n">
        <f aca="false">C31+IF(C31&lt;DATE(2026,10,24)+TIME(19,0,0),8,7)/24</f>
        <v>46322.8333333333</v>
      </c>
      <c r="O31" s="16" t="s">
        <v>59</v>
      </c>
      <c r="P31" s="17"/>
      <c r="Q31" s="17"/>
    </row>
    <row r="32" customFormat="false" ht="15" hidden="false" customHeight="false" outlineLevel="0" collapsed="false">
      <c r="A32" s="20" t="n">
        <v>4</v>
      </c>
      <c r="B32" s="20" t="s">
        <v>22</v>
      </c>
      <c r="C32" s="10" t="n">
        <v>46323.5416666667</v>
      </c>
      <c r="D32" s="11" t="str">
        <f aca="false">CHOOSE(WEEKDAY(C32,2),"lunes","martes","miércoles","jueves","viernes","sábado","domingo")</f>
        <v>miércoles</v>
      </c>
      <c r="E32" s="18" t="s">
        <v>61</v>
      </c>
      <c r="F32" s="21" t="s">
        <v>83</v>
      </c>
      <c r="G32" s="21" t="s">
        <v>85</v>
      </c>
      <c r="H32" s="21" t="s">
        <v>76</v>
      </c>
      <c r="I32" s="13" t="n">
        <f aca="false">IF(COUNTIFS($E$5:$E$300,E32,$C$5:$C$300,"&lt;"&amp;C32)=0,"—",ROUND((C32-SUMPRODUCT(MAX(($E$5:$E$300=E32)*($C$5:$C$300&lt;C32)*$C$5:$C$300)))*24,1))</f>
        <v>48</v>
      </c>
      <c r="J32" s="13" t="n">
        <f aca="false">IF(E32="TikTok","—",ROUND((C32-SUMIFS($C$5:$C$300,$F$5:$F$300,F32,$E$5:$E$300,"TikTok"))*24,1))</f>
        <v>24</v>
      </c>
      <c r="K32" s="14" t="str">
        <f aca="false">IF(AND(OR(I32="—",N(I32)&gt;=Reglas!$C$11),OR(E32="TikTok",AND(N(J32)&gt;=IF(E32="Instagram Reels",Reglas!$C$12,Reglas!$C$14),N(J32)&lt;=IF(E32="Instagram Reels",Reglas!$C$13,Reglas!$C$15)))),"OK","Revisar")</f>
        <v>OK</v>
      </c>
      <c r="L32" s="15" t="n">
        <f aca="false">C32+1/24</f>
        <v>46323.5833333333</v>
      </c>
      <c r="M32" s="15" t="n">
        <f aca="false">C32+3/24</f>
        <v>46323.6666666667</v>
      </c>
      <c r="N32" s="15" t="n">
        <f aca="false">C32+IF(C32&lt;DATE(2026,10,24)+TIME(19,0,0),8,7)/24</f>
        <v>46323.8333333333</v>
      </c>
      <c r="O32" s="16" t="s">
        <v>59</v>
      </c>
      <c r="P32" s="17"/>
      <c r="Q32" s="17"/>
    </row>
    <row r="33" customFormat="false" ht="15" hidden="false" customHeight="false" outlineLevel="0" collapsed="false">
      <c r="A33" s="9" t="n">
        <v>3</v>
      </c>
      <c r="B33" s="9" t="s">
        <v>30</v>
      </c>
      <c r="C33" s="10" t="n">
        <v>46323.7083333333</v>
      </c>
      <c r="D33" s="11" t="str">
        <f aca="false">CHOOSE(WEEKDAY(C33,2),"lunes","martes","miércoles","jueves","viernes","sábado","domingo")</f>
        <v>miércoles</v>
      </c>
      <c r="E33" s="19" t="s">
        <v>64</v>
      </c>
      <c r="F33" s="5" t="s">
        <v>81</v>
      </c>
      <c r="G33" s="5" t="s">
        <v>82</v>
      </c>
      <c r="H33" s="5" t="s">
        <v>76</v>
      </c>
      <c r="I33" s="13" t="n">
        <f aca="false">IF(COUNTIFS($E$5:$E$300,E33,$C$5:$C$300,"&lt;"&amp;C33)=0,"—",ROUND((C33-SUMPRODUCT(MAX(($E$5:$E$300=E33)*($C$5:$C$300&lt;C33)*$C$5:$C$300)))*24,1))</f>
        <v>96</v>
      </c>
      <c r="J33" s="13" t="n">
        <f aca="false">IF(E33="TikTok","—",ROUND((C33-SUMIFS($C$5:$C$300,$F$5:$F$300,F33,$E$5:$E$300,"TikTok"))*24,1))</f>
        <v>78.5</v>
      </c>
      <c r="K33" s="14" t="str">
        <f aca="false">IF(AND(OR(I33="—",N(I33)&gt;=Reglas!$C$11),OR(E33="TikTok",AND(N(J33)&gt;=IF(E33="Instagram Reels",Reglas!$C$12,Reglas!$C$14),N(J33)&lt;=IF(E33="Instagram Reels",Reglas!$C$13,Reglas!$C$15)))),"OK","Revisar")</f>
        <v>OK</v>
      </c>
      <c r="L33" s="15" t="n">
        <f aca="false">C33+1/24</f>
        <v>46323.75</v>
      </c>
      <c r="M33" s="15" t="n">
        <f aca="false">C33+3/24</f>
        <v>46323.8333333333</v>
      </c>
      <c r="N33" s="15" t="n">
        <f aca="false">C33+IF(C33&lt;DATE(2026,10,24)+TIME(19,0,0),8,7)/24</f>
        <v>46324</v>
      </c>
      <c r="O33" s="16" t="s">
        <v>59</v>
      </c>
      <c r="P33" s="17"/>
      <c r="Q33" s="17"/>
    </row>
    <row r="34" customFormat="false" ht="15" hidden="false" customHeight="false" outlineLevel="0" collapsed="false">
      <c r="A34" s="20" t="n">
        <v>4</v>
      </c>
      <c r="B34" s="20" t="s">
        <v>26</v>
      </c>
      <c r="C34" s="10" t="n">
        <v>46324.5416666667</v>
      </c>
      <c r="D34" s="11" t="str">
        <f aca="false">CHOOSE(WEEKDAY(C34,2),"lunes","martes","miércoles","jueves","viernes","sábado","domingo")</f>
        <v>jueves</v>
      </c>
      <c r="E34" s="12" t="s">
        <v>55</v>
      </c>
      <c r="F34" s="21" t="s">
        <v>86</v>
      </c>
      <c r="G34" s="21" t="s">
        <v>87</v>
      </c>
      <c r="H34" s="21" t="s">
        <v>76</v>
      </c>
      <c r="I34" s="13" t="n">
        <f aca="false">IF(COUNTIFS($E$5:$E$300,E34,$C$5:$C$300,"&lt;"&amp;C34)=0,"—",ROUND((C34-SUMPRODUCT(MAX(($E$5:$E$300=E34)*($C$5:$C$300&lt;C34)*$C$5:$C$300)))*24,1))</f>
        <v>48</v>
      </c>
      <c r="J34" s="13" t="str">
        <f aca="false">IF(E34="TikTok","—",ROUND((C34-SUMIFS($C$5:$C$300,$F$5:$F$300,F34,$E$5:$E$300,"TikTok"))*24,1))</f>
        <v>—</v>
      </c>
      <c r="K34" s="14" t="str">
        <f aca="false">IF(AND(OR(I34="—",N(I34)&gt;=Reglas!$C$11),OR(E34="TikTok",AND(N(J34)&gt;=IF(E34="Instagram Reels",Reglas!$C$12,Reglas!$C$14),N(J34)&lt;=IF(E34="Instagram Reels",Reglas!$C$13,Reglas!$C$15)))),"OK","Revisar")</f>
        <v>OK</v>
      </c>
      <c r="L34" s="15" t="n">
        <f aca="false">C34+1/24</f>
        <v>46324.5833333333</v>
      </c>
      <c r="M34" s="15" t="n">
        <f aca="false">C34+3/24</f>
        <v>46324.6666666667</v>
      </c>
      <c r="N34" s="15" t="n">
        <f aca="false">C34+IF(C34&lt;DATE(2026,10,24)+TIME(19,0,0),8,7)/24</f>
        <v>46324.8333333333</v>
      </c>
      <c r="O34" s="16" t="s">
        <v>59</v>
      </c>
      <c r="P34" s="17"/>
      <c r="Q34" s="17"/>
    </row>
    <row r="35" customFormat="false" ht="15" hidden="false" customHeight="false" outlineLevel="0" collapsed="false">
      <c r="A35" s="20" t="n">
        <v>4</v>
      </c>
      <c r="B35" s="20" t="s">
        <v>26</v>
      </c>
      <c r="C35" s="10" t="n">
        <v>46325.5416666667</v>
      </c>
      <c r="D35" s="11" t="str">
        <f aca="false">CHOOSE(WEEKDAY(C35,2),"lunes","martes","miércoles","jueves","viernes","sábado","domingo")</f>
        <v>viernes</v>
      </c>
      <c r="E35" s="18" t="s">
        <v>61</v>
      </c>
      <c r="F35" s="21" t="s">
        <v>86</v>
      </c>
      <c r="G35" s="21" t="s">
        <v>88</v>
      </c>
      <c r="H35" s="21" t="s">
        <v>76</v>
      </c>
      <c r="I35" s="13" t="n">
        <f aca="false">IF(COUNTIFS($E$5:$E$300,E35,$C$5:$C$300,"&lt;"&amp;C35)=0,"—",ROUND((C35-SUMPRODUCT(MAX(($E$5:$E$300=E35)*($C$5:$C$300&lt;C35)*$C$5:$C$300)))*24,1))</f>
        <v>48</v>
      </c>
      <c r="J35" s="13" t="n">
        <f aca="false">IF(E35="TikTok","—",ROUND((C35-SUMIFS($C$5:$C$300,$F$5:$F$300,F35,$E$5:$E$300,"TikTok"))*24,1))</f>
        <v>24</v>
      </c>
      <c r="K35" s="14" t="str">
        <f aca="false">IF(AND(OR(I35="—",N(I35)&gt;=Reglas!$C$11),OR(E35="TikTok",AND(N(J35)&gt;=IF(E35="Instagram Reels",Reglas!$C$12,Reglas!$C$14),N(J35)&lt;=IF(E35="Instagram Reels",Reglas!$C$13,Reglas!$C$15)))),"OK","Revisar")</f>
        <v>OK</v>
      </c>
      <c r="L35" s="15" t="n">
        <f aca="false">C35+1/24</f>
        <v>46325.5833333333</v>
      </c>
      <c r="M35" s="15" t="n">
        <f aca="false">C35+3/24</f>
        <v>46325.6666666667</v>
      </c>
      <c r="N35" s="15" t="n">
        <f aca="false">C35+IF(C35&lt;DATE(2026,10,24)+TIME(19,0,0),8,7)/24</f>
        <v>46325.8333333333</v>
      </c>
      <c r="O35" s="16" t="s">
        <v>59</v>
      </c>
      <c r="P35" s="17"/>
      <c r="Q35" s="17"/>
    </row>
    <row r="36" customFormat="false" ht="15" hidden="false" customHeight="false" outlineLevel="0" collapsed="false">
      <c r="A36" s="20" t="n">
        <v>4</v>
      </c>
      <c r="B36" s="20" t="s">
        <v>22</v>
      </c>
      <c r="C36" s="10" t="n">
        <v>46325.7083333333</v>
      </c>
      <c r="D36" s="11" t="str">
        <f aca="false">CHOOSE(WEEKDAY(C36,2),"lunes","martes","miércoles","jueves","viernes","sábado","domingo")</f>
        <v>viernes</v>
      </c>
      <c r="E36" s="19" t="s">
        <v>64</v>
      </c>
      <c r="F36" s="21" t="s">
        <v>83</v>
      </c>
      <c r="G36" s="21" t="s">
        <v>85</v>
      </c>
      <c r="H36" s="21" t="s">
        <v>76</v>
      </c>
      <c r="I36" s="13" t="n">
        <f aca="false">IF(COUNTIFS($E$5:$E$300,E36,$C$5:$C$300,"&lt;"&amp;C36)=0,"—",ROUND((C36-SUMPRODUCT(MAX(($E$5:$E$300=E36)*($C$5:$C$300&lt;C36)*$C$5:$C$300)))*24,1))</f>
        <v>48</v>
      </c>
      <c r="J36" s="13" t="n">
        <f aca="false">IF(E36="TikTok","—",ROUND((C36-SUMIFS($C$5:$C$300,$F$5:$F$300,F36,$E$5:$E$300,"TikTok"))*24,1))</f>
        <v>76</v>
      </c>
      <c r="K36" s="14" t="str">
        <f aca="false">IF(AND(OR(I36="—",N(I36)&gt;=Reglas!$C$11),OR(E36="TikTok",AND(N(J36)&gt;=IF(E36="Instagram Reels",Reglas!$C$12,Reglas!$C$14),N(J36)&lt;=IF(E36="Instagram Reels",Reglas!$C$13,Reglas!$C$15)))),"OK","Revisar")</f>
        <v>OK</v>
      </c>
      <c r="L36" s="15" t="n">
        <f aca="false">C36+1/24</f>
        <v>46325.75</v>
      </c>
      <c r="M36" s="15" t="n">
        <f aca="false">C36+3/24</f>
        <v>46325.8333333333</v>
      </c>
      <c r="N36" s="15" t="n">
        <f aca="false">C36+IF(C36&lt;DATE(2026,10,24)+TIME(19,0,0),8,7)/24</f>
        <v>46326</v>
      </c>
      <c r="O36" s="16" t="s">
        <v>59</v>
      </c>
      <c r="P36" s="17"/>
      <c r="Q36" s="17"/>
    </row>
    <row r="37" customFormat="false" ht="15" hidden="false" customHeight="false" outlineLevel="0" collapsed="false">
      <c r="A37" s="20" t="n">
        <v>4</v>
      </c>
      <c r="B37" s="20" t="s">
        <v>26</v>
      </c>
      <c r="C37" s="10" t="n">
        <v>46326.7083333333</v>
      </c>
      <c r="D37" s="11" t="str">
        <f aca="false">CHOOSE(WEEKDAY(C37,2),"lunes","martes","miércoles","jueves","viernes","sábado","domingo")</f>
        <v>sábado</v>
      </c>
      <c r="E37" s="19" t="s">
        <v>64</v>
      </c>
      <c r="F37" s="21" t="s">
        <v>86</v>
      </c>
      <c r="G37" s="21" t="s">
        <v>88</v>
      </c>
      <c r="H37" s="21" t="s">
        <v>76</v>
      </c>
      <c r="I37" s="13" t="n">
        <f aca="false">IF(COUNTIFS($E$5:$E$300,E37,$C$5:$C$300,"&lt;"&amp;C37)=0,"—",ROUND((C37-SUMPRODUCT(MAX(($E$5:$E$300=E37)*($C$5:$C$300&lt;C37)*$C$5:$C$300)))*24,1))</f>
        <v>24</v>
      </c>
      <c r="J37" s="13" t="n">
        <f aca="false">IF(E37="TikTok","—",ROUND((C37-SUMIFS($C$5:$C$300,$F$5:$F$300,F37,$E$5:$E$300,"TikTok"))*24,1))</f>
        <v>52</v>
      </c>
      <c r="K37" s="14" t="str">
        <f aca="false">IF(AND(OR(I37="—",N(I37)&gt;=Reglas!$C$11),OR(E37="TikTok",AND(N(J37)&gt;=IF(E37="Instagram Reels",Reglas!$C$12,Reglas!$C$14),N(J37)&lt;=IF(E37="Instagram Reels",Reglas!$C$13,Reglas!$C$15)))),"OK","Revisar")</f>
        <v>OK</v>
      </c>
      <c r="L37" s="15" t="n">
        <f aca="false">C37+1/24</f>
        <v>46326.75</v>
      </c>
      <c r="M37" s="15" t="n">
        <f aca="false">C37+3/24</f>
        <v>46326.8333333333</v>
      </c>
      <c r="N37" s="15" t="n">
        <f aca="false">C37+IF(C37&lt;DATE(2026,10,24)+TIME(19,0,0),8,7)/24</f>
        <v>46327</v>
      </c>
      <c r="O37" s="16" t="s">
        <v>59</v>
      </c>
      <c r="P37" s="17"/>
      <c r="Q37" s="17"/>
    </row>
    <row r="38" customFormat="false" ht="15" hidden="false" customHeight="false" outlineLevel="0" collapsed="false">
      <c r="A38" s="20" t="n">
        <v>4</v>
      </c>
      <c r="B38" s="20" t="s">
        <v>30</v>
      </c>
      <c r="C38" s="10" t="n">
        <v>46327.4375</v>
      </c>
      <c r="D38" s="11" t="str">
        <f aca="false">CHOOSE(WEEKDAY(C38,2),"lunes","martes","miércoles","jueves","viernes","sábado","domingo")</f>
        <v>domingo</v>
      </c>
      <c r="E38" s="12" t="s">
        <v>55</v>
      </c>
      <c r="F38" s="21" t="s">
        <v>89</v>
      </c>
      <c r="G38" s="21" t="s">
        <v>90</v>
      </c>
      <c r="H38" s="21" t="s">
        <v>76</v>
      </c>
      <c r="I38" s="13" t="n">
        <f aca="false">IF(COUNTIFS($E$5:$E$300,E38,$C$5:$C$300,"&lt;"&amp;C38)=0,"—",ROUND((C38-SUMPRODUCT(MAX(($E$5:$E$300=E38)*($C$5:$C$300&lt;C38)*$C$5:$C$300)))*24,1))</f>
        <v>69.5</v>
      </c>
      <c r="J38" s="13" t="str">
        <f aca="false">IF(E38="TikTok","—",ROUND((C38-SUMIFS($C$5:$C$300,$F$5:$F$300,F38,$E$5:$E$300,"TikTok"))*24,1))</f>
        <v>—</v>
      </c>
      <c r="K38" s="14" t="str">
        <f aca="false">IF(AND(OR(I38="—",N(I38)&gt;=Reglas!$C$11),OR(E38="TikTok",AND(N(J38)&gt;=IF(E38="Instagram Reels",Reglas!$C$12,Reglas!$C$14),N(J38)&lt;=IF(E38="Instagram Reels",Reglas!$C$13,Reglas!$C$15)))),"OK","Revisar")</f>
        <v>OK</v>
      </c>
      <c r="L38" s="15" t="n">
        <f aca="false">C38+1/24</f>
        <v>46327.4791666667</v>
      </c>
      <c r="M38" s="15" t="n">
        <f aca="false">C38+3/24</f>
        <v>46327.5625</v>
      </c>
      <c r="N38" s="15" t="n">
        <f aca="false">C38+IF(C38&lt;DATE(2026,10,24)+TIME(19,0,0),8,7)/24</f>
        <v>46327.7291666667</v>
      </c>
      <c r="O38" s="16" t="s">
        <v>59</v>
      </c>
      <c r="P38" s="17"/>
      <c r="Q38" s="17"/>
    </row>
    <row r="39" customFormat="false" ht="15" hidden="false" customHeight="false" outlineLevel="0" collapsed="false">
      <c r="A39" s="20" t="n">
        <v>4</v>
      </c>
      <c r="B39" s="20" t="s">
        <v>30</v>
      </c>
      <c r="C39" s="10" t="n">
        <v>46328.5416666667</v>
      </c>
      <c r="D39" s="11" t="str">
        <f aca="false">CHOOSE(WEEKDAY(C39,2),"lunes","martes","miércoles","jueves","viernes","sábado","domingo")</f>
        <v>lunes</v>
      </c>
      <c r="E39" s="18" t="s">
        <v>61</v>
      </c>
      <c r="F39" s="21" t="s">
        <v>89</v>
      </c>
      <c r="G39" s="21" t="s">
        <v>90</v>
      </c>
      <c r="H39" s="21" t="s">
        <v>76</v>
      </c>
      <c r="I39" s="13" t="n">
        <f aca="false">IF(COUNTIFS($E$5:$E$300,E39,$C$5:$C$300,"&lt;"&amp;C39)=0,"—",ROUND((C39-SUMPRODUCT(MAX(($E$5:$E$300=E39)*($C$5:$C$300&lt;C39)*$C$5:$C$300)))*24,1))</f>
        <v>72</v>
      </c>
      <c r="J39" s="13" t="n">
        <f aca="false">IF(E39="TikTok","—",ROUND((C39-SUMIFS($C$5:$C$300,$F$5:$F$300,F39,$E$5:$E$300,"TikTok"))*24,1))</f>
        <v>26.5</v>
      </c>
      <c r="K39" s="14" t="str">
        <f aca="false">IF(AND(OR(I39="—",N(I39)&gt;=Reglas!$C$11),OR(E39="TikTok",AND(N(J39)&gt;=IF(E39="Instagram Reels",Reglas!$C$12,Reglas!$C$14),N(J39)&lt;=IF(E39="Instagram Reels",Reglas!$C$13,Reglas!$C$15)))),"OK","Revisar")</f>
        <v>OK</v>
      </c>
      <c r="L39" s="15" t="n">
        <f aca="false">C39+1/24</f>
        <v>46328.5833333333</v>
      </c>
      <c r="M39" s="15" t="n">
        <f aca="false">C39+3/24</f>
        <v>46328.6666666667</v>
      </c>
      <c r="N39" s="15" t="n">
        <f aca="false">C39+IF(C39&lt;DATE(2026,10,24)+TIME(19,0,0),8,7)/24</f>
        <v>46328.8333333333</v>
      </c>
      <c r="O39" s="16" t="s">
        <v>59</v>
      </c>
      <c r="P39" s="17"/>
      <c r="Q39" s="17"/>
    </row>
    <row r="40" customFormat="false" ht="15" hidden="false" customHeight="false" outlineLevel="0" collapsed="false">
      <c r="A40" s="20" t="n">
        <v>4</v>
      </c>
      <c r="B40" s="20" t="s">
        <v>30</v>
      </c>
      <c r="C40" s="10" t="n">
        <v>46330.7083333333</v>
      </c>
      <c r="D40" s="11" t="str">
        <f aca="false">CHOOSE(WEEKDAY(C40,2),"lunes","martes","miércoles","jueves","viernes","sábado","domingo")</f>
        <v>miércoles</v>
      </c>
      <c r="E40" s="19" t="s">
        <v>64</v>
      </c>
      <c r="F40" s="21" t="s">
        <v>89</v>
      </c>
      <c r="G40" s="21" t="s">
        <v>90</v>
      </c>
      <c r="H40" s="21" t="s">
        <v>76</v>
      </c>
      <c r="I40" s="13" t="n">
        <f aca="false">IF(COUNTIFS($E$5:$E$300,E40,$C$5:$C$300,"&lt;"&amp;C40)=0,"—",ROUND((C40-SUMPRODUCT(MAX(($E$5:$E$300=E40)*($C$5:$C$300&lt;C40)*$C$5:$C$300)))*24,1))</f>
        <v>96</v>
      </c>
      <c r="J40" s="13" t="n">
        <f aca="false">IF(E40="TikTok","—",ROUND((C40-SUMIFS($C$5:$C$300,$F$5:$F$300,F40,$E$5:$E$300,"TikTok"))*24,1))</f>
        <v>78.5</v>
      </c>
      <c r="K40" s="14" t="str">
        <f aca="false">IF(AND(OR(I40="—",N(I40)&gt;=Reglas!$C$11),OR(E40="TikTok",AND(N(J40)&gt;=IF(E40="Instagram Reels",Reglas!$C$12,Reglas!$C$14),N(J40)&lt;=IF(E40="Instagram Reels",Reglas!$C$13,Reglas!$C$15)))),"OK","Revisar")</f>
        <v>OK</v>
      </c>
      <c r="L40" s="15" t="n">
        <f aca="false">C40+1/24</f>
        <v>46330.75</v>
      </c>
      <c r="M40" s="15" t="n">
        <f aca="false">C40+3/24</f>
        <v>46330.8333333333</v>
      </c>
      <c r="N40" s="15" t="n">
        <f aca="false">C40+IF(C40&lt;DATE(2026,10,24)+TIME(19,0,0),8,7)/24</f>
        <v>46331</v>
      </c>
      <c r="O40" s="16" t="s">
        <v>59</v>
      </c>
      <c r="P40" s="17"/>
      <c r="Q40" s="17"/>
    </row>
  </sheetData>
  <autoFilter ref="A4:Q40"/>
  <conditionalFormatting sqref="K5:K300">
    <cfRule type="cellIs" priority="2" operator="equal" aboveAverage="0" equalAverage="0" bottom="0" percent="0" rank="0" text="" dxfId="0">
      <formula>"Revisar"</formula>
    </cfRule>
    <cfRule type="cellIs" priority="3" operator="equal" aboveAverage="0" equalAverage="0" bottom="0" percent="0" rank="0" text="" dxfId="1">
      <formula>"OK"</formula>
    </cfRule>
  </conditionalFormatting>
  <conditionalFormatting sqref="O5:O300">
    <cfRule type="cellIs" priority="4" operator="equal" aboveAverage="0" equalAverage="0" bottom="0" percent="0" rank="0" text="" dxfId="2">
      <formula>"Publicado"</formula>
    </cfRule>
    <cfRule type="cellIs" priority="5" operator="equal" aboveAverage="0" equalAverage="0" bottom="0" percent="0" rank="0" text="" dxfId="3">
      <formula>"Aprobado"</formula>
    </cfRule>
  </conditionalFormatting>
  <dataValidations count="1">
    <dataValidation allowBlank="true" errorStyle="stop" operator="between" showDropDown="false" showErrorMessage="false" showInputMessage="false" sqref="O5:O40" type="list">
      <formula1>"Pendiente,Aprobado,Publicado,Omitido"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744"/>
    <pageSetUpPr fitToPage="tru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44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3" min="12" style="0" width="15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8"/>
    <col collapsed="false" customWidth="true" hidden="false" outlineLevel="0" max="18" min="17" style="0" width="50"/>
    <col collapsed="false" customWidth="true" hidden="false" outlineLevel="0" max="19" min="19" style="0" width="7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3" t="s">
        <v>93</v>
      </c>
    </row>
    <row r="4" customFormat="false" ht="42" hidden="false" customHeight="true" outlineLevel="0" collapsed="false">
      <c r="A4" s="7" t="s">
        <v>39</v>
      </c>
      <c r="B4" s="7" t="s">
        <v>18</v>
      </c>
      <c r="C4" s="7" t="s">
        <v>43</v>
      </c>
      <c r="D4" s="7" t="s">
        <v>44</v>
      </c>
      <c r="E4" s="7" t="s">
        <v>45</v>
      </c>
      <c r="F4" s="7" t="s">
        <v>94</v>
      </c>
      <c r="G4" s="7" t="s">
        <v>95</v>
      </c>
      <c r="H4" s="7" t="s">
        <v>96</v>
      </c>
      <c r="I4" s="7" t="s">
        <v>97</v>
      </c>
      <c r="J4" s="7" t="s">
        <v>98</v>
      </c>
      <c r="K4" s="7" t="s">
        <v>99</v>
      </c>
      <c r="L4" s="7" t="s">
        <v>100</v>
      </c>
      <c r="M4" s="7" t="s">
        <v>101</v>
      </c>
      <c r="N4" s="7" t="s">
        <v>102</v>
      </c>
      <c r="O4" s="7" t="s">
        <v>103</v>
      </c>
      <c r="P4" s="7" t="s">
        <v>52</v>
      </c>
      <c r="Q4" s="7" t="s">
        <v>104</v>
      </c>
      <c r="R4" s="7" t="s">
        <v>54</v>
      </c>
      <c r="S4" s="7" t="s">
        <v>105</v>
      </c>
    </row>
    <row r="5" customFormat="false" ht="15" hidden="false" customHeight="false" outlineLevel="0" collapsed="false">
      <c r="A5" s="9" t="n">
        <v>1</v>
      </c>
      <c r="B5" s="9" t="s">
        <v>22</v>
      </c>
      <c r="C5" s="5" t="s">
        <v>56</v>
      </c>
      <c r="D5" s="5" t="s">
        <v>57</v>
      </c>
      <c r="E5" s="5" t="s">
        <v>58</v>
      </c>
      <c r="F5" s="5" t="s">
        <v>106</v>
      </c>
      <c r="G5" s="5" t="s">
        <v>107</v>
      </c>
      <c r="H5" s="5"/>
      <c r="I5" s="22"/>
      <c r="J5" s="23" t="n">
        <f aca="false">IF(SUMIFS(Calendario!$C$5:$C$300,Calendario!$F$5:$F$300,C5,Calendario!$E$5:$E$300,"TikTok")=0,"",SUMIFS(Calendario!$C$5:$C$300,Calendario!$F$5:$F$300,C5,Calendario!$E$5:$E$300,"TikTok"))</f>
        <v>46301.8125</v>
      </c>
      <c r="K5" s="24" t="n">
        <f aca="false">IF($J5="","",INT($J5)-Reglas!$C$18)</f>
        <v>46297</v>
      </c>
      <c r="L5" s="24" t="n">
        <f aca="false">IF($J5="","",INT($J5)-Reglas!$C$19)</f>
        <v>46298</v>
      </c>
      <c r="M5" s="24" t="n">
        <f aca="false">IF($J5="","",INT($J5)-Reglas!$C$20)</f>
        <v>46299</v>
      </c>
      <c r="N5" s="24" t="n">
        <f aca="false">IF($J5="","",INT($J5)-Reglas!$C$21)</f>
        <v>46300</v>
      </c>
      <c r="O5" s="24" t="n">
        <f aca="false">IF($J5="","",INT($J5)-Reglas!$C$22)</f>
        <v>46303</v>
      </c>
      <c r="P5" s="17" t="s">
        <v>108</v>
      </c>
      <c r="Q5" s="3"/>
      <c r="R5" s="17" t="s">
        <v>109</v>
      </c>
      <c r="S5" s="25" t="n">
        <f aca="false">IFERROR(MATCH($P5,{"Sugerido","Guion listo","Prototipo listo","Guion aprobado","Voces grabadas","Video final listo","Aprobado","Publicado"},0)-1,99)</f>
        <v>5</v>
      </c>
    </row>
    <row r="6" customFormat="false" ht="15" hidden="false" customHeight="false" outlineLevel="0" collapsed="false">
      <c r="A6" s="9" t="n">
        <v>1</v>
      </c>
      <c r="B6" s="9" t="s">
        <v>26</v>
      </c>
      <c r="C6" s="5" t="s">
        <v>62</v>
      </c>
      <c r="D6" s="5" t="s">
        <v>63</v>
      </c>
      <c r="E6" s="5" t="s">
        <v>58</v>
      </c>
      <c r="F6" s="5" t="s">
        <v>110</v>
      </c>
      <c r="G6" s="5" t="s">
        <v>111</v>
      </c>
      <c r="H6" s="5" t="s">
        <v>112</v>
      </c>
      <c r="I6" s="22" t="n">
        <v>86.5</v>
      </c>
      <c r="J6" s="23" t="n">
        <f aca="false">IF(SUMIFS(Calendario!$C$5:$C$300,Calendario!$F$5:$F$300,C6,Calendario!$E$5:$E$300,"TikTok")=0,"",SUMIFS(Calendario!$C$5:$C$300,Calendario!$F$5:$F$300,C6,Calendario!$E$5:$E$300,"TikTok"))</f>
        <v>46303.8125</v>
      </c>
      <c r="K6" s="24" t="n">
        <f aca="false">IF($J6="","",INT($J6)-Reglas!$C$18)</f>
        <v>46299</v>
      </c>
      <c r="L6" s="24" t="n">
        <f aca="false">IF($J6="","",INT($J6)-Reglas!$C$19)</f>
        <v>46300</v>
      </c>
      <c r="M6" s="24" t="n">
        <f aca="false">IF($J6="","",INT($J6)-Reglas!$C$20)</f>
        <v>46301</v>
      </c>
      <c r="N6" s="24" t="n">
        <f aca="false">IF($J6="","",INT($J6)-Reglas!$C$21)</f>
        <v>46302</v>
      </c>
      <c r="O6" s="24" t="n">
        <f aca="false">IF($J6="","",INT($J6)-Reglas!$C$22)</f>
        <v>46305</v>
      </c>
      <c r="P6" s="17" t="s">
        <v>113</v>
      </c>
      <c r="Q6" s="3" t="s">
        <v>114</v>
      </c>
      <c r="R6" s="17" t="s">
        <v>115</v>
      </c>
      <c r="S6" s="25" t="n">
        <f aca="false">IFERROR(MATCH($P6,{"Sugerido","Guion listo","Prototipo listo","Guion aprobado","Voces grabadas","Video final listo","Aprobado","Publicado"},0)-1,99)</f>
        <v>2</v>
      </c>
    </row>
    <row r="7" customFormat="false" ht="15" hidden="false" customHeight="false" outlineLevel="0" collapsed="false">
      <c r="A7" s="9" t="n">
        <v>1</v>
      </c>
      <c r="B7" s="9" t="s">
        <v>30</v>
      </c>
      <c r="C7" s="5" t="s">
        <v>65</v>
      </c>
      <c r="D7" s="5" t="s">
        <v>66</v>
      </c>
      <c r="E7" s="5" t="s">
        <v>58</v>
      </c>
      <c r="F7" s="5" t="s">
        <v>116</v>
      </c>
      <c r="G7" s="5" t="s">
        <v>117</v>
      </c>
      <c r="H7" s="5" t="s">
        <v>118</v>
      </c>
      <c r="I7" s="22" t="n">
        <v>85.2</v>
      </c>
      <c r="J7" s="23" t="n">
        <f aca="false">IF(SUMIFS(Calendario!$C$5:$C$300,Calendario!$F$5:$F$300,C7,Calendario!$E$5:$E$300,"TikTok")=0,"",SUMIFS(Calendario!$C$5:$C$300,Calendario!$F$5:$F$300,C7,Calendario!$E$5:$E$300,"TikTok"))</f>
        <v>46306.4375</v>
      </c>
      <c r="K7" s="24" t="n">
        <f aca="false">IF($J7="","",INT($J7)-Reglas!$C$18)</f>
        <v>46302</v>
      </c>
      <c r="L7" s="24" t="n">
        <f aca="false">IF($J7="","",INT($J7)-Reglas!$C$19)</f>
        <v>46303</v>
      </c>
      <c r="M7" s="24" t="n">
        <f aca="false">IF($J7="","",INT($J7)-Reglas!$C$20)</f>
        <v>46304</v>
      </c>
      <c r="N7" s="24" t="n">
        <f aca="false">IF($J7="","",INT($J7)-Reglas!$C$21)</f>
        <v>46305</v>
      </c>
      <c r="O7" s="24" t="n">
        <f aca="false">IF($J7="","",INT($J7)-Reglas!$C$22)</f>
        <v>46308</v>
      </c>
      <c r="P7" s="17" t="s">
        <v>113</v>
      </c>
      <c r="Q7" s="3" t="s">
        <v>119</v>
      </c>
      <c r="R7" s="17" t="s">
        <v>120</v>
      </c>
      <c r="S7" s="25" t="n">
        <f aca="false">IFERROR(MATCH($P7,{"Sugerido","Guion listo","Prototipo listo","Guion aprobado","Voces grabadas","Video final listo","Aprobado","Publicado"},0)-1,99)</f>
        <v>2</v>
      </c>
    </row>
    <row r="8" customFormat="false" ht="15" hidden="false" customHeight="false" outlineLevel="0" collapsed="false">
      <c r="A8" s="9" t="n">
        <v>2</v>
      </c>
      <c r="B8" s="9" t="s">
        <v>22</v>
      </c>
      <c r="C8" s="5" t="s">
        <v>67</v>
      </c>
      <c r="D8" s="5" t="s">
        <v>68</v>
      </c>
      <c r="E8" s="5" t="s">
        <v>69</v>
      </c>
      <c r="F8" s="5" t="s">
        <v>110</v>
      </c>
      <c r="G8" s="5" t="s">
        <v>107</v>
      </c>
      <c r="H8" s="5" t="s">
        <v>121</v>
      </c>
      <c r="I8" s="22" t="n">
        <v>73.3</v>
      </c>
      <c r="J8" s="23" t="n">
        <f aca="false">IF(SUMIFS(Calendario!$C$5:$C$300,Calendario!$F$5:$F$300,C8,Calendario!$E$5:$E$300,"TikTok")=0,"",SUMIFS(Calendario!$C$5:$C$300,Calendario!$F$5:$F$300,C8,Calendario!$E$5:$E$300,"TikTok"))</f>
        <v>46308.8125</v>
      </c>
      <c r="K8" s="24" t="n">
        <f aca="false">IF($J8="","",INT($J8)-Reglas!$C$18)</f>
        <v>46304</v>
      </c>
      <c r="L8" s="24" t="n">
        <f aca="false">IF($J8="","",INT($J8)-Reglas!$C$19)</f>
        <v>46305</v>
      </c>
      <c r="M8" s="24" t="n">
        <f aca="false">IF($J8="","",INT($J8)-Reglas!$C$20)</f>
        <v>46306</v>
      </c>
      <c r="N8" s="24" t="n">
        <f aca="false">IF($J8="","",INT($J8)-Reglas!$C$21)</f>
        <v>46307</v>
      </c>
      <c r="O8" s="24" t="n">
        <f aca="false">IF($J8="","",INT($J8)-Reglas!$C$22)</f>
        <v>46310</v>
      </c>
      <c r="P8" s="17" t="s">
        <v>113</v>
      </c>
      <c r="Q8" s="3" t="s">
        <v>122</v>
      </c>
      <c r="R8" s="17" t="s">
        <v>123</v>
      </c>
      <c r="S8" s="25" t="n">
        <f aca="false">IFERROR(MATCH($P8,{"Sugerido","Guion listo","Prototipo listo","Guion aprobado","Voces grabadas","Video final listo","Aprobado","Publicado"},0)-1,99)</f>
        <v>2</v>
      </c>
    </row>
    <row r="9" customFormat="false" ht="15" hidden="false" customHeight="false" outlineLevel="0" collapsed="false">
      <c r="A9" s="9" t="n">
        <v>2</v>
      </c>
      <c r="B9" s="9" t="s">
        <v>26</v>
      </c>
      <c r="C9" s="5" t="s">
        <v>70</v>
      </c>
      <c r="D9" s="5" t="s">
        <v>71</v>
      </c>
      <c r="E9" s="5" t="s">
        <v>69</v>
      </c>
      <c r="F9" s="5" t="s">
        <v>110</v>
      </c>
      <c r="G9" s="5" t="s">
        <v>124</v>
      </c>
      <c r="H9" s="5" t="s">
        <v>125</v>
      </c>
      <c r="I9" s="22" t="n">
        <v>80.9</v>
      </c>
      <c r="J9" s="23" t="n">
        <f aca="false">IF(SUMIFS(Calendario!$C$5:$C$300,Calendario!$F$5:$F$300,C9,Calendario!$E$5:$E$300,"TikTok")=0,"",SUMIFS(Calendario!$C$5:$C$300,Calendario!$F$5:$F$300,C9,Calendario!$E$5:$E$300,"TikTok"))</f>
        <v>46310.8125</v>
      </c>
      <c r="K9" s="24" t="n">
        <f aca="false">IF($J9="","",INT($J9)-Reglas!$C$18)</f>
        <v>46306</v>
      </c>
      <c r="L9" s="24" t="n">
        <f aca="false">IF($J9="","",INT($J9)-Reglas!$C$19)</f>
        <v>46307</v>
      </c>
      <c r="M9" s="24" t="n">
        <f aca="false">IF($J9="","",INT($J9)-Reglas!$C$20)</f>
        <v>46308</v>
      </c>
      <c r="N9" s="24" t="n">
        <f aca="false">IF($J9="","",INT($J9)-Reglas!$C$21)</f>
        <v>46309</v>
      </c>
      <c r="O9" s="24" t="n">
        <f aca="false">IF($J9="","",INT($J9)-Reglas!$C$22)</f>
        <v>46312</v>
      </c>
      <c r="P9" s="17" t="s">
        <v>113</v>
      </c>
      <c r="Q9" s="3" t="s">
        <v>126</v>
      </c>
      <c r="R9" s="17" t="s">
        <v>127</v>
      </c>
      <c r="S9" s="25" t="n">
        <f aca="false">IFERROR(MATCH($P9,{"Sugerido","Guion listo","Prototipo listo","Guion aprobado","Voces grabadas","Video final listo","Aprobado","Publicado"},0)-1,99)</f>
        <v>2</v>
      </c>
    </row>
    <row r="10" customFormat="false" ht="15" hidden="false" customHeight="false" outlineLevel="0" collapsed="false">
      <c r="A10" s="9" t="n">
        <v>2</v>
      </c>
      <c r="B10" s="9" t="s">
        <v>30</v>
      </c>
      <c r="C10" s="5" t="s">
        <v>72</v>
      </c>
      <c r="D10" s="5" t="s">
        <v>73</v>
      </c>
      <c r="E10" s="5" t="s">
        <v>69</v>
      </c>
      <c r="F10" s="5" t="s">
        <v>116</v>
      </c>
      <c r="G10" s="5" t="s">
        <v>128</v>
      </c>
      <c r="H10" s="5" t="s">
        <v>129</v>
      </c>
      <c r="I10" s="22" t="n">
        <v>78.2</v>
      </c>
      <c r="J10" s="23" t="n">
        <f aca="false">IF(SUMIFS(Calendario!$C$5:$C$300,Calendario!$F$5:$F$300,C10,Calendario!$E$5:$E$300,"TikTok")=0,"",SUMIFS(Calendario!$C$5:$C$300,Calendario!$F$5:$F$300,C10,Calendario!$E$5:$E$300,"TikTok"))</f>
        <v>46313.4375</v>
      </c>
      <c r="K10" s="24" t="n">
        <f aca="false">IF($J10="","",INT($J10)-Reglas!$C$18)</f>
        <v>46309</v>
      </c>
      <c r="L10" s="24" t="n">
        <f aca="false">IF($J10="","",INT($J10)-Reglas!$C$19)</f>
        <v>46310</v>
      </c>
      <c r="M10" s="24" t="n">
        <f aca="false">IF($J10="","",INT($J10)-Reglas!$C$20)</f>
        <v>46311</v>
      </c>
      <c r="N10" s="24" t="n">
        <f aca="false">IF($J10="","",INT($J10)-Reglas!$C$21)</f>
        <v>46312</v>
      </c>
      <c r="O10" s="24" t="n">
        <f aca="false">IF($J10="","",INT($J10)-Reglas!$C$22)</f>
        <v>46315</v>
      </c>
      <c r="P10" s="17" t="s">
        <v>113</v>
      </c>
      <c r="Q10" s="3" t="s">
        <v>130</v>
      </c>
      <c r="R10" s="17" t="s">
        <v>131</v>
      </c>
      <c r="S10" s="25" t="n">
        <f aca="false">IFERROR(MATCH($P10,{"Sugerido","Guion listo","Prototipo listo","Guion aprobado","Voces grabadas","Video final listo","Aprobado","Publicado"},0)-1,99)</f>
        <v>2</v>
      </c>
    </row>
    <row r="11" customFormat="false" ht="15" hidden="false" customHeight="false" outlineLevel="0" collapsed="false">
      <c r="A11" s="9" t="n">
        <v>3</v>
      </c>
      <c r="B11" s="9" t="s">
        <v>22</v>
      </c>
      <c r="C11" s="5" t="s">
        <v>74</v>
      </c>
      <c r="D11" s="5" t="s">
        <v>77</v>
      </c>
      <c r="E11" s="5" t="s">
        <v>76</v>
      </c>
      <c r="F11" s="5" t="s">
        <v>110</v>
      </c>
      <c r="G11" s="5" t="s">
        <v>111</v>
      </c>
      <c r="H11" s="5" t="s">
        <v>121</v>
      </c>
      <c r="I11" s="22"/>
      <c r="J11" s="23" t="n">
        <f aca="false">IF(SUMIFS(Calendario!$C$5:$C$300,Calendario!$F$5:$F$300,C11,Calendario!$E$5:$E$300,"TikTok")=0,"",SUMIFS(Calendario!$C$5:$C$300,Calendario!$F$5:$F$300,C11,Calendario!$E$5:$E$300,"TikTok"))</f>
        <v>46315.5416666667</v>
      </c>
      <c r="K11" s="24" t="n">
        <f aca="false">IF($J11="","",INT($J11)-Reglas!$C$18)</f>
        <v>46311</v>
      </c>
      <c r="L11" s="24" t="n">
        <f aca="false">IF($J11="","",INT($J11)-Reglas!$C$19)</f>
        <v>46312</v>
      </c>
      <c r="M11" s="24" t="n">
        <f aca="false">IF($J11="","",INT($J11)-Reglas!$C$20)</f>
        <v>46313</v>
      </c>
      <c r="N11" s="24" t="n">
        <f aca="false">IF($J11="","",INT($J11)-Reglas!$C$21)</f>
        <v>46314</v>
      </c>
      <c r="O11" s="24" t="n">
        <f aca="false">IF($J11="","",INT($J11)-Reglas!$C$22)</f>
        <v>46317</v>
      </c>
      <c r="P11" s="17" t="s">
        <v>76</v>
      </c>
      <c r="Q11" s="3"/>
      <c r="R11" s="17" t="s">
        <v>132</v>
      </c>
      <c r="S11" s="25" t="n">
        <f aca="false">IFERROR(MATCH($P11,{"Sugerido","Guion listo","Prototipo listo","Guion aprobado","Voces grabadas","Video final listo","Aprobado","Publicado"},0)-1,99)</f>
        <v>0</v>
      </c>
    </row>
    <row r="12" customFormat="false" ht="15" hidden="false" customHeight="false" outlineLevel="0" collapsed="false">
      <c r="A12" s="9" t="n">
        <v>3</v>
      </c>
      <c r="B12" s="9" t="s">
        <v>26</v>
      </c>
      <c r="C12" s="5" t="s">
        <v>78</v>
      </c>
      <c r="D12" s="5" t="s">
        <v>80</v>
      </c>
      <c r="E12" s="5" t="s">
        <v>76</v>
      </c>
      <c r="F12" s="5" t="s">
        <v>110</v>
      </c>
      <c r="G12" s="5" t="s">
        <v>133</v>
      </c>
      <c r="H12" s="5" t="s">
        <v>112</v>
      </c>
      <c r="I12" s="22"/>
      <c r="J12" s="23" t="n">
        <f aca="false">IF(SUMIFS(Calendario!$C$5:$C$300,Calendario!$F$5:$F$300,C12,Calendario!$E$5:$E$300,"TikTok")=0,"",SUMIFS(Calendario!$C$5:$C$300,Calendario!$F$5:$F$300,C12,Calendario!$E$5:$E$300,"TikTok"))</f>
        <v>46317.5416666667</v>
      </c>
      <c r="K12" s="24" t="n">
        <f aca="false">IF($J12="","",INT($J12)-Reglas!$C$18)</f>
        <v>46313</v>
      </c>
      <c r="L12" s="24" t="n">
        <f aca="false">IF($J12="","",INT($J12)-Reglas!$C$19)</f>
        <v>46314</v>
      </c>
      <c r="M12" s="24" t="n">
        <f aca="false">IF($J12="","",INT($J12)-Reglas!$C$20)</f>
        <v>46315</v>
      </c>
      <c r="N12" s="24" t="n">
        <f aca="false">IF($J12="","",INT($J12)-Reglas!$C$21)</f>
        <v>46316</v>
      </c>
      <c r="O12" s="24" t="n">
        <f aca="false">IF($J12="","",INT($J12)-Reglas!$C$22)</f>
        <v>46319</v>
      </c>
      <c r="P12" s="17" t="s">
        <v>76</v>
      </c>
      <c r="Q12" s="3"/>
      <c r="R12" s="17" t="s">
        <v>134</v>
      </c>
      <c r="S12" s="25" t="n">
        <f aca="false">IFERROR(MATCH($P12,{"Sugerido","Guion listo","Prototipo listo","Guion aprobado","Voces grabadas","Video final listo","Aprobado","Publicado"},0)-1,99)</f>
        <v>0</v>
      </c>
    </row>
    <row r="13" customFormat="false" ht="15" hidden="false" customHeight="false" outlineLevel="0" collapsed="false">
      <c r="A13" s="9" t="n">
        <v>3</v>
      </c>
      <c r="B13" s="9" t="s">
        <v>30</v>
      </c>
      <c r="C13" s="5" t="s">
        <v>81</v>
      </c>
      <c r="D13" s="5" t="s">
        <v>82</v>
      </c>
      <c r="E13" s="5" t="s">
        <v>76</v>
      </c>
      <c r="F13" s="5" t="s">
        <v>116</v>
      </c>
      <c r="G13" s="5" t="s">
        <v>135</v>
      </c>
      <c r="H13" s="5" t="s">
        <v>121</v>
      </c>
      <c r="I13" s="22"/>
      <c r="J13" s="23" t="n">
        <f aca="false">IF(SUMIFS(Calendario!$C$5:$C$300,Calendario!$F$5:$F$300,C13,Calendario!$E$5:$E$300,"TikTok")=0,"",SUMIFS(Calendario!$C$5:$C$300,Calendario!$F$5:$F$300,C13,Calendario!$E$5:$E$300,"TikTok"))</f>
        <v>46320.4375</v>
      </c>
      <c r="K13" s="24" t="n">
        <f aca="false">IF($J13="","",INT($J13)-Reglas!$C$18)</f>
        <v>46316</v>
      </c>
      <c r="L13" s="24" t="n">
        <f aca="false">IF($J13="","",INT($J13)-Reglas!$C$19)</f>
        <v>46317</v>
      </c>
      <c r="M13" s="24" t="n">
        <f aca="false">IF($J13="","",INT($J13)-Reglas!$C$20)</f>
        <v>46318</v>
      </c>
      <c r="N13" s="24" t="n">
        <f aca="false">IF($J13="","",INT($J13)-Reglas!$C$21)</f>
        <v>46319</v>
      </c>
      <c r="O13" s="24" t="n">
        <f aca="false">IF($J13="","",INT($J13)-Reglas!$C$22)</f>
        <v>46322</v>
      </c>
      <c r="P13" s="17" t="s">
        <v>76</v>
      </c>
      <c r="Q13" s="3"/>
      <c r="R13" s="17" t="s">
        <v>136</v>
      </c>
      <c r="S13" s="25" t="n">
        <f aca="false">IFERROR(MATCH($P13,{"Sugerido","Guion listo","Prototipo listo","Guion aprobado","Voces grabadas","Video final listo","Aprobado","Publicado"},0)-1,99)</f>
        <v>0</v>
      </c>
    </row>
    <row r="14" customFormat="false" ht="15" hidden="false" customHeight="false" outlineLevel="0" collapsed="false">
      <c r="A14" s="9" t="n">
        <v>4</v>
      </c>
      <c r="B14" s="9" t="s">
        <v>22</v>
      </c>
      <c r="C14" s="5" t="s">
        <v>83</v>
      </c>
      <c r="D14" s="5" t="s">
        <v>85</v>
      </c>
      <c r="E14" s="5" t="s">
        <v>76</v>
      </c>
      <c r="F14" s="5" t="s">
        <v>116</v>
      </c>
      <c r="G14" s="5" t="s">
        <v>107</v>
      </c>
      <c r="H14" s="5" t="s">
        <v>121</v>
      </c>
      <c r="I14" s="22"/>
      <c r="J14" s="23" t="n">
        <f aca="false">IF(SUMIFS(Calendario!$C$5:$C$300,Calendario!$F$5:$F$300,C14,Calendario!$E$5:$E$300,"TikTok")=0,"",SUMIFS(Calendario!$C$5:$C$300,Calendario!$F$5:$F$300,C14,Calendario!$E$5:$E$300,"TikTok"))</f>
        <v>46322.5416666667</v>
      </c>
      <c r="K14" s="24" t="n">
        <f aca="false">IF($J14="","",INT($J14)-Reglas!$C$18)</f>
        <v>46318</v>
      </c>
      <c r="L14" s="24" t="n">
        <f aca="false">IF($J14="","",INT($J14)-Reglas!$C$19)</f>
        <v>46319</v>
      </c>
      <c r="M14" s="24" t="n">
        <f aca="false">IF($J14="","",INT($J14)-Reglas!$C$20)</f>
        <v>46320</v>
      </c>
      <c r="N14" s="24" t="n">
        <f aca="false">IF($J14="","",INT($J14)-Reglas!$C$21)</f>
        <v>46321</v>
      </c>
      <c r="O14" s="24" t="n">
        <f aca="false">IF($J14="","",INT($J14)-Reglas!$C$22)</f>
        <v>46324</v>
      </c>
      <c r="P14" s="17" t="s">
        <v>76</v>
      </c>
      <c r="Q14" s="3"/>
      <c r="R14" s="17" t="s">
        <v>137</v>
      </c>
      <c r="S14" s="25" t="n">
        <f aca="false">IFERROR(MATCH($P14,{"Sugerido","Guion listo","Prototipo listo","Guion aprobado","Voces grabadas","Video final listo","Aprobado","Publicado"},0)-1,99)</f>
        <v>0</v>
      </c>
    </row>
    <row r="15" customFormat="false" ht="15" hidden="false" customHeight="false" outlineLevel="0" collapsed="false">
      <c r="A15" s="9" t="n">
        <v>4</v>
      </c>
      <c r="B15" s="9" t="s">
        <v>26</v>
      </c>
      <c r="C15" s="5" t="s">
        <v>86</v>
      </c>
      <c r="D15" s="5" t="s">
        <v>88</v>
      </c>
      <c r="E15" s="5" t="s">
        <v>76</v>
      </c>
      <c r="F15" s="5" t="s">
        <v>138</v>
      </c>
      <c r="G15" s="5" t="s">
        <v>139</v>
      </c>
      <c r="H15" s="5" t="s">
        <v>140</v>
      </c>
      <c r="I15" s="22"/>
      <c r="J15" s="23" t="n">
        <f aca="false">IF(SUMIFS(Calendario!$C$5:$C$300,Calendario!$F$5:$F$300,C15,Calendario!$E$5:$E$300,"TikTok")=0,"",SUMIFS(Calendario!$C$5:$C$300,Calendario!$F$5:$F$300,C15,Calendario!$E$5:$E$300,"TikTok"))</f>
        <v>46324.5416666667</v>
      </c>
      <c r="K15" s="24" t="n">
        <f aca="false">IF($J15="","",INT($J15)-Reglas!$C$18)</f>
        <v>46320</v>
      </c>
      <c r="L15" s="24" t="n">
        <f aca="false">IF($J15="","",INT($J15)-Reglas!$C$19)</f>
        <v>46321</v>
      </c>
      <c r="M15" s="24" t="n">
        <f aca="false">IF($J15="","",INT($J15)-Reglas!$C$20)</f>
        <v>46322</v>
      </c>
      <c r="N15" s="24" t="n">
        <f aca="false">IF($J15="","",INT($J15)-Reglas!$C$21)</f>
        <v>46323</v>
      </c>
      <c r="O15" s="24" t="n">
        <f aca="false">IF($J15="","",INT($J15)-Reglas!$C$22)</f>
        <v>46326</v>
      </c>
      <c r="P15" s="17" t="s">
        <v>76</v>
      </c>
      <c r="Q15" s="3"/>
      <c r="R15" s="17" t="s">
        <v>141</v>
      </c>
      <c r="S15" s="25" t="n">
        <f aca="false">IFERROR(MATCH($P15,{"Sugerido","Guion listo","Prototipo listo","Guion aprobado","Voces grabadas","Video final listo","Aprobado","Publicado"},0)-1,99)</f>
        <v>0</v>
      </c>
    </row>
    <row r="16" customFormat="false" ht="15" hidden="false" customHeight="false" outlineLevel="0" collapsed="false">
      <c r="A16" s="9" t="n">
        <v>4</v>
      </c>
      <c r="B16" s="9" t="s">
        <v>30</v>
      </c>
      <c r="C16" s="5" t="s">
        <v>89</v>
      </c>
      <c r="D16" s="5" t="s">
        <v>90</v>
      </c>
      <c r="E16" s="5" t="s">
        <v>76</v>
      </c>
      <c r="F16" s="5" t="s">
        <v>110</v>
      </c>
      <c r="G16" s="5" t="s">
        <v>117</v>
      </c>
      <c r="H16" s="5" t="s">
        <v>112</v>
      </c>
      <c r="I16" s="22"/>
      <c r="J16" s="23" t="n">
        <f aca="false">IF(SUMIFS(Calendario!$C$5:$C$300,Calendario!$F$5:$F$300,C16,Calendario!$E$5:$E$300,"TikTok")=0,"",SUMIFS(Calendario!$C$5:$C$300,Calendario!$F$5:$F$300,C16,Calendario!$E$5:$E$300,"TikTok"))</f>
        <v>46327.4375</v>
      </c>
      <c r="K16" s="24" t="n">
        <f aca="false">IF($J16="","",INT($J16)-Reglas!$C$18)</f>
        <v>46323</v>
      </c>
      <c r="L16" s="24" t="n">
        <f aca="false">IF($J16="","",INT($J16)-Reglas!$C$19)</f>
        <v>46324</v>
      </c>
      <c r="M16" s="24" t="n">
        <f aca="false">IF($J16="","",INT($J16)-Reglas!$C$20)</f>
        <v>46325</v>
      </c>
      <c r="N16" s="24" t="n">
        <f aca="false">IF($J16="","",INT($J16)-Reglas!$C$21)</f>
        <v>46326</v>
      </c>
      <c r="O16" s="24" t="n">
        <f aca="false">IF($J16="","",INT($J16)-Reglas!$C$22)</f>
        <v>46329</v>
      </c>
      <c r="P16" s="17" t="s">
        <v>76</v>
      </c>
      <c r="Q16" s="3"/>
      <c r="R16" s="17" t="s">
        <v>142</v>
      </c>
      <c r="S16" s="25" t="n">
        <f aca="false">IFERROR(MATCH($P16,{"Sugerido","Guion listo","Prototipo listo","Guion aprobado","Voces grabadas","Video final listo","Aprobado","Publicado"},0)-1,99)</f>
        <v>0</v>
      </c>
    </row>
  </sheetData>
  <autoFilter ref="A4:S16"/>
  <conditionalFormatting sqref="K5:K300">
    <cfRule type="expression" priority="2" aboveAverage="0" equalAverage="0" bottom="0" percent="0" rank="0" text="" dxfId="4">
      <formula>AND(K5&lt;&gt;"",K5&lt;TODAY(),$S5&lt;3)</formula>
    </cfRule>
  </conditionalFormatting>
  <conditionalFormatting sqref="L5:L300">
    <cfRule type="expression" priority="3" aboveAverage="0" equalAverage="0" bottom="0" percent="0" rank="0" text="" dxfId="5">
      <formula>AND(L5&lt;&gt;"",L5&lt;TODAY(),$S5&lt;4)</formula>
    </cfRule>
  </conditionalFormatting>
  <conditionalFormatting sqref="M5:M300">
    <cfRule type="expression" priority="4" aboveAverage="0" equalAverage="0" bottom="0" percent="0" rank="0" text="" dxfId="6">
      <formula>AND(M5&lt;&gt;"",M5&lt;TODAY(),$S5&lt;5)</formula>
    </cfRule>
  </conditionalFormatting>
  <conditionalFormatting sqref="N5:N300">
    <cfRule type="expression" priority="5" aboveAverage="0" equalAverage="0" bottom="0" percent="0" rank="0" text="" dxfId="7">
      <formula>AND(N5&lt;&gt;"",N5&lt;TODAY(),$S5&lt;6)</formula>
    </cfRule>
  </conditionalFormatting>
  <dataValidations count="1">
    <dataValidation allowBlank="true" errorStyle="stop" operator="between" showDropDown="false" showErrorMessage="false" showInputMessage="false" sqref="P5:P16" type="list">
      <formula1>"Sugerido,Guion listo,Prototipo listo,Guion aprobado,Voces grabadas,Video final listo,Aprobado,Publicado,Descartado"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7BFF"/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6" min="4" style="0" width="11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5" min="13" style="0" width="12"/>
    <col collapsed="false" customWidth="true" hidden="false" outlineLevel="0" max="16" min="16" style="0" width="40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2" t="s">
        <v>145</v>
      </c>
    </row>
    <row r="4" customFormat="false" ht="42" hidden="false" customHeight="true" outlineLevel="0" collapsed="false">
      <c r="A4" s="7" t="s">
        <v>40</v>
      </c>
      <c r="B4" s="7" t="s">
        <v>42</v>
      </c>
      <c r="C4" s="7" t="s">
        <v>43</v>
      </c>
      <c r="D4" s="7" t="s">
        <v>52</v>
      </c>
      <c r="E4" s="7" t="s">
        <v>146</v>
      </c>
      <c r="F4" s="7" t="s">
        <v>147</v>
      </c>
      <c r="G4" s="7" t="s">
        <v>148</v>
      </c>
      <c r="H4" s="7" t="s">
        <v>149</v>
      </c>
      <c r="I4" s="7" t="s">
        <v>150</v>
      </c>
      <c r="J4" s="7" t="s">
        <v>151</v>
      </c>
      <c r="K4" s="7" t="s">
        <v>152</v>
      </c>
      <c r="L4" s="7" t="s">
        <v>153</v>
      </c>
      <c r="M4" s="7" t="s">
        <v>154</v>
      </c>
      <c r="N4" s="7" t="s">
        <v>155</v>
      </c>
      <c r="O4" s="7" t="s">
        <v>156</v>
      </c>
      <c r="P4" s="7" t="s">
        <v>54</v>
      </c>
    </row>
    <row r="5" customFormat="false" ht="15" hidden="false" customHeight="false" outlineLevel="0" collapsed="false">
      <c r="A5" s="26" t="n">
        <f aca="false">Calendario!C5</f>
        <v>46301.8125</v>
      </c>
      <c r="B5" s="11" t="str">
        <f aca="false">Calendario!E5</f>
        <v>TikTok</v>
      </c>
      <c r="C5" s="11" t="str">
        <f aca="false">Calendario!F5</f>
        <v>ep_20261001_openai_openai_cancelo_gpt_6_1_as</v>
      </c>
      <c r="D5" s="11" t="str">
        <f aca="false">Calendario!O5</f>
        <v>Pendiente</v>
      </c>
      <c r="E5" s="27"/>
      <c r="F5" s="27"/>
      <c r="G5" s="28"/>
      <c r="H5" s="27"/>
      <c r="I5" s="27"/>
      <c r="J5" s="27"/>
      <c r="K5" s="27"/>
      <c r="L5" s="27"/>
      <c r="M5" s="27"/>
      <c r="N5" s="28"/>
      <c r="O5" s="29" t="str">
        <f aca="false">IF(N(F5)&gt;0,(N(I5)+N(J5)+N(K5)+N(L5))/F5,"")</f>
        <v/>
      </c>
      <c r="P5" s="17"/>
    </row>
    <row r="6" customFormat="false" ht="15" hidden="false" customHeight="false" outlineLevel="0" collapsed="false">
      <c r="A6" s="26" t="n">
        <f aca="false">Calendario!C6</f>
        <v>46302.5416666667</v>
      </c>
      <c r="B6" s="11" t="str">
        <f aca="false">Calendario!E6</f>
        <v>Instagram Reels</v>
      </c>
      <c r="C6" s="11" t="str">
        <f aca="false">Calendario!F6</f>
        <v>ep_20261001_openai_openai_cancelo_gpt_6_1_as</v>
      </c>
      <c r="D6" s="11" t="str">
        <f aca="false">Calendario!O6</f>
        <v>Pendiente</v>
      </c>
      <c r="E6" s="27"/>
      <c r="F6" s="27"/>
      <c r="G6" s="28"/>
      <c r="H6" s="27"/>
      <c r="I6" s="27"/>
      <c r="J6" s="27"/>
      <c r="K6" s="27"/>
      <c r="L6" s="27"/>
      <c r="M6" s="27"/>
      <c r="N6" s="28"/>
      <c r="O6" s="29" t="str">
        <f aca="false">IF(N(F6)&gt;0,(N(I6)+N(J6)+N(K6)+N(L6))/F6,"")</f>
        <v/>
      </c>
      <c r="P6" s="17"/>
    </row>
    <row r="7" customFormat="false" ht="15" hidden="false" customHeight="false" outlineLevel="0" collapsed="false">
      <c r="A7" s="26" t="n">
        <f aca="false">Calendario!C7</f>
        <v>46303.8125</v>
      </c>
      <c r="B7" s="11" t="str">
        <f aca="false">Calendario!E7</f>
        <v>TikTok</v>
      </c>
      <c r="C7" s="11" t="str">
        <f aca="false">Calendario!F7</f>
        <v>ep_20261001_github_agentes_de_ia_filtraron_1</v>
      </c>
      <c r="D7" s="11" t="str">
        <f aca="false">Calendario!O7</f>
        <v>Pendiente</v>
      </c>
      <c r="E7" s="27"/>
      <c r="F7" s="27"/>
      <c r="G7" s="28"/>
      <c r="H7" s="27"/>
      <c r="I7" s="27"/>
      <c r="J7" s="27"/>
      <c r="K7" s="27"/>
      <c r="L7" s="27"/>
      <c r="M7" s="27"/>
      <c r="N7" s="28"/>
      <c r="O7" s="29" t="str">
        <f aca="false">IF(N(F7)&gt;0,(N(I7)+N(J7)+N(K7)+N(L7))/F7,"")</f>
        <v/>
      </c>
      <c r="P7" s="17"/>
    </row>
    <row r="8" customFormat="false" ht="15" hidden="false" customHeight="false" outlineLevel="0" collapsed="false">
      <c r="A8" s="26" t="n">
        <f aca="false">Calendario!C8</f>
        <v>46304.5416666667</v>
      </c>
      <c r="B8" s="11" t="str">
        <f aca="false">Calendario!E8</f>
        <v>Instagram Reels</v>
      </c>
      <c r="C8" s="11" t="str">
        <f aca="false">Calendario!F8</f>
        <v>ep_20261001_github_agentes_de_ia_filtraron_1</v>
      </c>
      <c r="D8" s="11" t="str">
        <f aca="false">Calendario!O8</f>
        <v>Pendiente</v>
      </c>
      <c r="E8" s="27"/>
      <c r="F8" s="27"/>
      <c r="G8" s="28"/>
      <c r="H8" s="27"/>
      <c r="I8" s="27"/>
      <c r="J8" s="27"/>
      <c r="K8" s="27"/>
      <c r="L8" s="27"/>
      <c r="M8" s="27"/>
      <c r="N8" s="28"/>
      <c r="O8" s="29" t="str">
        <f aca="false">IF(N(F8)&gt;0,(N(I8)+N(J8)+N(K8)+N(L8))/F8,"")</f>
        <v/>
      </c>
      <c r="P8" s="17"/>
    </row>
    <row r="9" customFormat="false" ht="15" hidden="false" customHeight="false" outlineLevel="0" collapsed="false">
      <c r="A9" s="26" t="n">
        <f aca="false">Calendario!C9</f>
        <v>46304.7083333333</v>
      </c>
      <c r="B9" s="11" t="str">
        <f aca="false">Calendario!E9</f>
        <v>YouTube Shorts</v>
      </c>
      <c r="C9" s="11" t="str">
        <f aca="false">Calendario!F9</f>
        <v>ep_20261001_openai_openai_cancelo_gpt_6_1_as</v>
      </c>
      <c r="D9" s="11" t="str">
        <f aca="false">Calendario!O9</f>
        <v>Pendiente</v>
      </c>
      <c r="E9" s="27"/>
      <c r="F9" s="27"/>
      <c r="G9" s="28"/>
      <c r="H9" s="27"/>
      <c r="I9" s="27"/>
      <c r="J9" s="27"/>
      <c r="K9" s="27"/>
      <c r="L9" s="27"/>
      <c r="M9" s="27"/>
      <c r="N9" s="28"/>
      <c r="O9" s="29" t="str">
        <f aca="false">IF(N(F9)&gt;0,(N(I9)+N(J9)+N(K9)+N(L9))/F9,"")</f>
        <v/>
      </c>
      <c r="P9" s="17"/>
    </row>
    <row r="10" customFormat="false" ht="15" hidden="false" customHeight="false" outlineLevel="0" collapsed="false">
      <c r="A10" s="26" t="n">
        <f aca="false">Calendario!C10</f>
        <v>46305.7083333333</v>
      </c>
      <c r="B10" s="11" t="str">
        <f aca="false">Calendario!E10</f>
        <v>YouTube Shorts</v>
      </c>
      <c r="C10" s="11" t="str">
        <f aca="false">Calendario!F10</f>
        <v>ep_20261001_github_agentes_de_ia_filtraron_1</v>
      </c>
      <c r="D10" s="11" t="str">
        <f aca="false">Calendario!O10</f>
        <v>Pendiente</v>
      </c>
      <c r="E10" s="27"/>
      <c r="F10" s="27"/>
      <c r="G10" s="28"/>
      <c r="H10" s="27"/>
      <c r="I10" s="27"/>
      <c r="J10" s="27"/>
      <c r="K10" s="27"/>
      <c r="L10" s="27"/>
      <c r="M10" s="27"/>
      <c r="N10" s="28"/>
      <c r="O10" s="29" t="str">
        <f aca="false">IF(N(F10)&gt;0,(N(I10)+N(J10)+N(K10)+N(L10))/F10,"")</f>
        <v/>
      </c>
      <c r="P10" s="17"/>
    </row>
    <row r="11" customFormat="false" ht="15" hidden="false" customHeight="false" outlineLevel="0" collapsed="false">
      <c r="A11" s="26" t="n">
        <f aca="false">Calendario!C11</f>
        <v>46306.4375</v>
      </c>
      <c r="B11" s="11" t="str">
        <f aca="false">Calendario!E11</f>
        <v>TikTok</v>
      </c>
      <c r="C11" s="11" t="str">
        <f aca="false">Calendario!F11</f>
        <v>ep_20261001_meta_la_ia_de_meta_dio_la_direcc</v>
      </c>
      <c r="D11" s="11" t="str">
        <f aca="false">Calendario!O11</f>
        <v>Pendiente</v>
      </c>
      <c r="E11" s="27"/>
      <c r="F11" s="27"/>
      <c r="G11" s="28"/>
      <c r="H11" s="27"/>
      <c r="I11" s="27"/>
      <c r="J11" s="27"/>
      <c r="K11" s="27"/>
      <c r="L11" s="27"/>
      <c r="M11" s="27"/>
      <c r="N11" s="28"/>
      <c r="O11" s="29" t="str">
        <f aca="false">IF(N(F11)&gt;0,(N(I11)+N(J11)+N(K11)+N(L11))/F11,"")</f>
        <v/>
      </c>
      <c r="P11" s="17"/>
    </row>
    <row r="12" customFormat="false" ht="15" hidden="false" customHeight="false" outlineLevel="0" collapsed="false">
      <c r="A12" s="26" t="n">
        <f aca="false">Calendario!C12</f>
        <v>46307.5416666667</v>
      </c>
      <c r="B12" s="11" t="str">
        <f aca="false">Calendario!E12</f>
        <v>Instagram Reels</v>
      </c>
      <c r="C12" s="11" t="str">
        <f aca="false">Calendario!F12</f>
        <v>ep_20261001_meta_la_ia_de_meta_dio_la_direcc</v>
      </c>
      <c r="D12" s="11" t="str">
        <f aca="false">Calendario!O12</f>
        <v>Pendiente</v>
      </c>
      <c r="E12" s="27"/>
      <c r="F12" s="27"/>
      <c r="G12" s="28"/>
      <c r="H12" s="27"/>
      <c r="I12" s="27"/>
      <c r="J12" s="27"/>
      <c r="K12" s="27"/>
      <c r="L12" s="27"/>
      <c r="M12" s="27"/>
      <c r="N12" s="28"/>
      <c r="O12" s="29" t="str">
        <f aca="false">IF(N(F12)&gt;0,(N(I12)+N(J12)+N(K12)+N(L12))/F12,"")</f>
        <v/>
      </c>
      <c r="P12" s="17"/>
    </row>
    <row r="13" customFormat="false" ht="15" hidden="false" customHeight="false" outlineLevel="0" collapsed="false">
      <c r="A13" s="26" t="n">
        <f aca="false">Calendario!C13</f>
        <v>46308.8125</v>
      </c>
      <c r="B13" s="11" t="str">
        <f aca="false">Calendario!E13</f>
        <v>TikTok</v>
      </c>
      <c r="C13" s="11" t="str">
        <f aca="false">Calendario!F13</f>
        <v>ep_20261002_alphago</v>
      </c>
      <c r="D13" s="11" t="str">
        <f aca="false">Calendario!O13</f>
        <v>Pendiente</v>
      </c>
      <c r="E13" s="27"/>
      <c r="F13" s="27"/>
      <c r="G13" s="28"/>
      <c r="H13" s="27"/>
      <c r="I13" s="27"/>
      <c r="J13" s="27"/>
      <c r="K13" s="27"/>
      <c r="L13" s="27"/>
      <c r="M13" s="27"/>
      <c r="N13" s="28"/>
      <c r="O13" s="29" t="str">
        <f aca="false">IF(N(F13)&gt;0,(N(I13)+N(J13)+N(K13)+N(L13))/F13,"")</f>
        <v/>
      </c>
      <c r="P13" s="17"/>
    </row>
    <row r="14" customFormat="false" ht="15" hidden="false" customHeight="false" outlineLevel="0" collapsed="false">
      <c r="A14" s="26" t="n">
        <f aca="false">Calendario!C14</f>
        <v>46309.5416666667</v>
      </c>
      <c r="B14" s="11" t="str">
        <f aca="false">Calendario!E14</f>
        <v>Instagram Reels</v>
      </c>
      <c r="C14" s="11" t="str">
        <f aca="false">Calendario!F14</f>
        <v>ep_20261002_alphago</v>
      </c>
      <c r="D14" s="11" t="str">
        <f aca="false">Calendario!O14</f>
        <v>Pendiente</v>
      </c>
      <c r="E14" s="27"/>
      <c r="F14" s="27"/>
      <c r="G14" s="28"/>
      <c r="H14" s="27"/>
      <c r="I14" s="27"/>
      <c r="J14" s="27"/>
      <c r="K14" s="27"/>
      <c r="L14" s="27"/>
      <c r="M14" s="27"/>
      <c r="N14" s="28"/>
      <c r="O14" s="29" t="str">
        <f aca="false">IF(N(F14)&gt;0,(N(I14)+N(J14)+N(K14)+N(L14))/F14,"")</f>
        <v/>
      </c>
      <c r="P14" s="17"/>
    </row>
    <row r="15" customFormat="false" ht="15" hidden="false" customHeight="false" outlineLevel="0" collapsed="false">
      <c r="A15" s="26" t="n">
        <f aca="false">Calendario!C15</f>
        <v>46309.7083333333</v>
      </c>
      <c r="B15" s="11" t="str">
        <f aca="false">Calendario!E15</f>
        <v>YouTube Shorts</v>
      </c>
      <c r="C15" s="11" t="str">
        <f aca="false">Calendario!F15</f>
        <v>ep_20261001_meta_la_ia_de_meta_dio_la_direcc</v>
      </c>
      <c r="D15" s="11" t="str">
        <f aca="false">Calendario!O15</f>
        <v>Pendiente</v>
      </c>
      <c r="E15" s="27"/>
      <c r="F15" s="27"/>
      <c r="G15" s="28"/>
      <c r="H15" s="27"/>
      <c r="I15" s="27"/>
      <c r="J15" s="27"/>
      <c r="K15" s="27"/>
      <c r="L15" s="27"/>
      <c r="M15" s="27"/>
      <c r="N15" s="28"/>
      <c r="O15" s="29" t="str">
        <f aca="false">IF(N(F15)&gt;0,(N(I15)+N(J15)+N(K15)+N(L15))/F15,"")</f>
        <v/>
      </c>
      <c r="P15" s="17"/>
    </row>
    <row r="16" customFormat="false" ht="15" hidden="false" customHeight="false" outlineLevel="0" collapsed="false">
      <c r="A16" s="26" t="n">
        <f aca="false">Calendario!C16</f>
        <v>46310.8125</v>
      </c>
      <c r="B16" s="11" t="str">
        <f aca="false">Calendario!E16</f>
        <v>TikTok</v>
      </c>
      <c r="C16" s="11" t="str">
        <f aca="false">Calendario!F16</f>
        <v>ep_20261002_crowdstrike_2024</v>
      </c>
      <c r="D16" s="11" t="str">
        <f aca="false">Calendario!O16</f>
        <v>Pendiente</v>
      </c>
      <c r="E16" s="27"/>
      <c r="F16" s="27"/>
      <c r="G16" s="28"/>
      <c r="H16" s="27"/>
      <c r="I16" s="27"/>
      <c r="J16" s="27"/>
      <c r="K16" s="27"/>
      <c r="L16" s="27"/>
      <c r="M16" s="27"/>
      <c r="N16" s="28"/>
      <c r="O16" s="29" t="str">
        <f aca="false">IF(N(F16)&gt;0,(N(I16)+N(J16)+N(K16)+N(L16))/F16,"")</f>
        <v/>
      </c>
      <c r="P16" s="17"/>
    </row>
    <row r="17" customFormat="false" ht="15" hidden="false" customHeight="false" outlineLevel="0" collapsed="false">
      <c r="A17" s="26" t="n">
        <f aca="false">Calendario!C17</f>
        <v>46311.5416666667</v>
      </c>
      <c r="B17" s="11" t="str">
        <f aca="false">Calendario!E17</f>
        <v>Instagram Reels</v>
      </c>
      <c r="C17" s="11" t="str">
        <f aca="false">Calendario!F17</f>
        <v>ep_20261002_crowdstrike_2024</v>
      </c>
      <c r="D17" s="11" t="str">
        <f aca="false">Calendario!O17</f>
        <v>Pendiente</v>
      </c>
      <c r="E17" s="27"/>
      <c r="F17" s="27"/>
      <c r="G17" s="28"/>
      <c r="H17" s="27"/>
      <c r="I17" s="27"/>
      <c r="J17" s="27"/>
      <c r="K17" s="27"/>
      <c r="L17" s="27"/>
      <c r="M17" s="27"/>
      <c r="N17" s="28"/>
      <c r="O17" s="29" t="str">
        <f aca="false">IF(N(F17)&gt;0,(N(I17)+N(J17)+N(K17)+N(L17))/F17,"")</f>
        <v/>
      </c>
      <c r="P17" s="17"/>
    </row>
    <row r="18" customFormat="false" ht="15" hidden="false" customHeight="false" outlineLevel="0" collapsed="false">
      <c r="A18" s="26" t="n">
        <f aca="false">Calendario!C18</f>
        <v>46311.7083333333</v>
      </c>
      <c r="B18" s="11" t="str">
        <f aca="false">Calendario!E18</f>
        <v>YouTube Shorts</v>
      </c>
      <c r="C18" s="11" t="str">
        <f aca="false">Calendario!F18</f>
        <v>ep_20261002_alphago</v>
      </c>
      <c r="D18" s="11" t="str">
        <f aca="false">Calendario!O18</f>
        <v>Pendiente</v>
      </c>
      <c r="E18" s="27"/>
      <c r="F18" s="27"/>
      <c r="G18" s="28"/>
      <c r="H18" s="27"/>
      <c r="I18" s="27"/>
      <c r="J18" s="27"/>
      <c r="K18" s="27"/>
      <c r="L18" s="27"/>
      <c r="M18" s="27"/>
      <c r="N18" s="28"/>
      <c r="O18" s="29" t="str">
        <f aca="false">IF(N(F18)&gt;0,(N(I18)+N(J18)+N(K18)+N(L18))/F18,"")</f>
        <v/>
      </c>
      <c r="P18" s="17"/>
    </row>
    <row r="19" customFormat="false" ht="15" hidden="false" customHeight="false" outlineLevel="0" collapsed="false">
      <c r="A19" s="26" t="n">
        <f aca="false">Calendario!C19</f>
        <v>46312.7083333333</v>
      </c>
      <c r="B19" s="11" t="str">
        <f aca="false">Calendario!E19</f>
        <v>YouTube Shorts</v>
      </c>
      <c r="C19" s="11" t="str">
        <f aca="false">Calendario!F19</f>
        <v>ep_20261002_crowdstrike_2024</v>
      </c>
      <c r="D19" s="11" t="str">
        <f aca="false">Calendario!O19</f>
        <v>Pendiente</v>
      </c>
      <c r="E19" s="27"/>
      <c r="F19" s="27"/>
      <c r="G19" s="28"/>
      <c r="H19" s="27"/>
      <c r="I19" s="27"/>
      <c r="J19" s="27"/>
      <c r="K19" s="27"/>
      <c r="L19" s="27"/>
      <c r="M19" s="27"/>
      <c r="N19" s="28"/>
      <c r="O19" s="29" t="str">
        <f aca="false">IF(N(F19)&gt;0,(N(I19)+N(J19)+N(K19)+N(L19))/F19,"")</f>
        <v/>
      </c>
      <c r="P19" s="17"/>
    </row>
    <row r="20" customFormat="false" ht="15" hidden="false" customHeight="false" outlineLevel="0" collapsed="false">
      <c r="A20" s="26" t="n">
        <f aca="false">Calendario!C20</f>
        <v>46313.4375</v>
      </c>
      <c r="B20" s="11" t="str">
        <f aca="false">Calendario!E20</f>
        <v>TikTok</v>
      </c>
      <c r="C20" s="11" t="str">
        <f aca="false">Calendario!F20</f>
        <v>ep_20261002_open_weights</v>
      </c>
      <c r="D20" s="11" t="str">
        <f aca="false">Calendario!O20</f>
        <v>Pendiente</v>
      </c>
      <c r="E20" s="27"/>
      <c r="F20" s="27"/>
      <c r="G20" s="28"/>
      <c r="H20" s="27"/>
      <c r="I20" s="27"/>
      <c r="J20" s="27"/>
      <c r="K20" s="27"/>
      <c r="L20" s="27"/>
      <c r="M20" s="27"/>
      <c r="N20" s="28"/>
      <c r="O20" s="29" t="str">
        <f aca="false">IF(N(F20)&gt;0,(N(I20)+N(J20)+N(K20)+N(L20))/F20,"")</f>
        <v/>
      </c>
      <c r="P20" s="17"/>
    </row>
    <row r="21" customFormat="false" ht="15" hidden="false" customHeight="false" outlineLevel="0" collapsed="false">
      <c r="A21" s="26" t="n">
        <f aca="false">Calendario!C21</f>
        <v>46314.5416666667</v>
      </c>
      <c r="B21" s="11" t="str">
        <f aca="false">Calendario!E21</f>
        <v>Instagram Reels</v>
      </c>
      <c r="C21" s="11" t="str">
        <f aca="false">Calendario!F21</f>
        <v>ep_20261002_open_weights</v>
      </c>
      <c r="D21" s="11" t="str">
        <f aca="false">Calendario!O21</f>
        <v>Pendiente</v>
      </c>
      <c r="E21" s="27"/>
      <c r="F21" s="27"/>
      <c r="G21" s="28"/>
      <c r="H21" s="27"/>
      <c r="I21" s="27"/>
      <c r="J21" s="27"/>
      <c r="K21" s="27"/>
      <c r="L21" s="27"/>
      <c r="M21" s="27"/>
      <c r="N21" s="28"/>
      <c r="O21" s="29" t="str">
        <f aca="false">IF(N(F21)&gt;0,(N(I21)+N(J21)+N(K21)+N(L21))/F21,"")</f>
        <v/>
      </c>
      <c r="P21" s="17"/>
    </row>
    <row r="22" customFormat="false" ht="15" hidden="false" customHeight="false" outlineLevel="0" collapsed="false">
      <c r="A22" s="26" t="n">
        <f aca="false">Calendario!C22</f>
        <v>46315.5416666667</v>
      </c>
      <c r="B22" s="11" t="str">
        <f aca="false">Calendario!E22</f>
        <v>TikTok</v>
      </c>
      <c r="C22" s="11" t="str">
        <f aca="false">Calendario!F22</f>
        <v>ep_20261015_deep_blue</v>
      </c>
      <c r="D22" s="11" t="str">
        <f aca="false">Calendario!O22</f>
        <v>Pendiente</v>
      </c>
      <c r="E22" s="27"/>
      <c r="F22" s="27"/>
      <c r="G22" s="28"/>
      <c r="H22" s="27"/>
      <c r="I22" s="27"/>
      <c r="J22" s="27"/>
      <c r="K22" s="27"/>
      <c r="L22" s="27"/>
      <c r="M22" s="27"/>
      <c r="N22" s="28"/>
      <c r="O22" s="29" t="str">
        <f aca="false">IF(N(F22)&gt;0,(N(I22)+N(J22)+N(K22)+N(L22))/F22,"")</f>
        <v/>
      </c>
      <c r="P22" s="17"/>
    </row>
    <row r="23" customFormat="false" ht="15" hidden="false" customHeight="false" outlineLevel="0" collapsed="false">
      <c r="A23" s="26" t="n">
        <f aca="false">Calendario!C23</f>
        <v>46316.5416666667</v>
      </c>
      <c r="B23" s="11" t="str">
        <f aca="false">Calendario!E23</f>
        <v>Instagram Reels</v>
      </c>
      <c r="C23" s="11" t="str">
        <f aca="false">Calendario!F23</f>
        <v>ep_20261015_deep_blue</v>
      </c>
      <c r="D23" s="11" t="str">
        <f aca="false">Calendario!O23</f>
        <v>Pendiente</v>
      </c>
      <c r="E23" s="27"/>
      <c r="F23" s="27"/>
      <c r="G23" s="28"/>
      <c r="H23" s="27"/>
      <c r="I23" s="27"/>
      <c r="J23" s="27"/>
      <c r="K23" s="27"/>
      <c r="L23" s="27"/>
      <c r="M23" s="27"/>
      <c r="N23" s="28"/>
      <c r="O23" s="29" t="str">
        <f aca="false">IF(N(F23)&gt;0,(N(I23)+N(J23)+N(K23)+N(L23))/F23,"")</f>
        <v/>
      </c>
      <c r="P23" s="17"/>
    </row>
    <row r="24" customFormat="false" ht="15" hidden="false" customHeight="false" outlineLevel="0" collapsed="false">
      <c r="A24" s="26" t="n">
        <f aca="false">Calendario!C24</f>
        <v>46316.7083333333</v>
      </c>
      <c r="B24" s="11" t="str">
        <f aca="false">Calendario!E24</f>
        <v>YouTube Shorts</v>
      </c>
      <c r="C24" s="11" t="str">
        <f aca="false">Calendario!F24</f>
        <v>ep_20261002_open_weights</v>
      </c>
      <c r="D24" s="11" t="str">
        <f aca="false">Calendario!O24</f>
        <v>Pendiente</v>
      </c>
      <c r="E24" s="27"/>
      <c r="F24" s="27"/>
      <c r="G24" s="28"/>
      <c r="H24" s="27"/>
      <c r="I24" s="27"/>
      <c r="J24" s="27"/>
      <c r="K24" s="27"/>
      <c r="L24" s="27"/>
      <c r="M24" s="27"/>
      <c r="N24" s="28"/>
      <c r="O24" s="29" t="str">
        <f aca="false">IF(N(F24)&gt;0,(N(I24)+N(J24)+N(K24)+N(L24))/F24,"")</f>
        <v/>
      </c>
      <c r="P24" s="17"/>
    </row>
    <row r="25" customFormat="false" ht="15" hidden="false" customHeight="false" outlineLevel="0" collapsed="false">
      <c r="A25" s="26" t="n">
        <f aca="false">Calendario!C25</f>
        <v>46317.5416666667</v>
      </c>
      <c r="B25" s="11" t="str">
        <f aca="false">Calendario!E25</f>
        <v>TikTok</v>
      </c>
      <c r="C25" s="11" t="str">
        <f aca="false">Calendario!F25</f>
        <v>ep_20261015_mars_climate_orbiter</v>
      </c>
      <c r="D25" s="11" t="str">
        <f aca="false">Calendario!O25</f>
        <v>Pendiente</v>
      </c>
      <c r="E25" s="27"/>
      <c r="F25" s="27"/>
      <c r="G25" s="28"/>
      <c r="H25" s="27"/>
      <c r="I25" s="27"/>
      <c r="J25" s="27"/>
      <c r="K25" s="27"/>
      <c r="L25" s="27"/>
      <c r="M25" s="27"/>
      <c r="N25" s="28"/>
      <c r="O25" s="29" t="str">
        <f aca="false">IF(N(F25)&gt;0,(N(I25)+N(J25)+N(K25)+N(L25))/F25,"")</f>
        <v/>
      </c>
      <c r="P25" s="17"/>
    </row>
    <row r="26" customFormat="false" ht="15" hidden="false" customHeight="false" outlineLevel="0" collapsed="false">
      <c r="A26" s="26" t="n">
        <f aca="false">Calendario!C26</f>
        <v>46318.5416666667</v>
      </c>
      <c r="B26" s="11" t="str">
        <f aca="false">Calendario!E26</f>
        <v>Instagram Reels</v>
      </c>
      <c r="C26" s="11" t="str">
        <f aca="false">Calendario!F26</f>
        <v>ep_20261015_mars_climate_orbiter</v>
      </c>
      <c r="D26" s="11" t="str">
        <f aca="false">Calendario!O26</f>
        <v>Pendiente</v>
      </c>
      <c r="E26" s="27"/>
      <c r="F26" s="27"/>
      <c r="G26" s="28"/>
      <c r="H26" s="27"/>
      <c r="I26" s="27"/>
      <c r="J26" s="27"/>
      <c r="K26" s="27"/>
      <c r="L26" s="27"/>
      <c r="M26" s="27"/>
      <c r="N26" s="28"/>
      <c r="O26" s="29" t="str">
        <f aca="false">IF(N(F26)&gt;0,(N(I26)+N(J26)+N(K26)+N(L26))/F26,"")</f>
        <v/>
      </c>
      <c r="P26" s="17"/>
    </row>
    <row r="27" customFormat="false" ht="15" hidden="false" customHeight="false" outlineLevel="0" collapsed="false">
      <c r="A27" s="26" t="n">
        <f aca="false">Calendario!C27</f>
        <v>46318.7083333333</v>
      </c>
      <c r="B27" s="11" t="str">
        <f aca="false">Calendario!E27</f>
        <v>YouTube Shorts</v>
      </c>
      <c r="C27" s="11" t="str">
        <f aca="false">Calendario!F27</f>
        <v>ep_20261015_deep_blue</v>
      </c>
      <c r="D27" s="11" t="str">
        <f aca="false">Calendario!O27</f>
        <v>Pendiente</v>
      </c>
      <c r="E27" s="27"/>
      <c r="F27" s="27"/>
      <c r="G27" s="28"/>
      <c r="H27" s="27"/>
      <c r="I27" s="27"/>
      <c r="J27" s="27"/>
      <c r="K27" s="27"/>
      <c r="L27" s="27"/>
      <c r="M27" s="27"/>
      <c r="N27" s="28"/>
      <c r="O27" s="29" t="str">
        <f aca="false">IF(N(F27)&gt;0,(N(I27)+N(J27)+N(K27)+N(L27))/F27,"")</f>
        <v/>
      </c>
      <c r="P27" s="17"/>
    </row>
    <row r="28" customFormat="false" ht="15" hidden="false" customHeight="false" outlineLevel="0" collapsed="false">
      <c r="A28" s="26" t="n">
        <f aca="false">Calendario!C28</f>
        <v>46319.7083333333</v>
      </c>
      <c r="B28" s="11" t="str">
        <f aca="false">Calendario!E28</f>
        <v>YouTube Shorts</v>
      </c>
      <c r="C28" s="11" t="str">
        <f aca="false">Calendario!F28</f>
        <v>ep_20261015_mars_climate_orbiter</v>
      </c>
      <c r="D28" s="11" t="str">
        <f aca="false">Calendario!O28</f>
        <v>Pendiente</v>
      </c>
      <c r="E28" s="27"/>
      <c r="F28" s="27"/>
      <c r="G28" s="28"/>
      <c r="H28" s="27"/>
      <c r="I28" s="27"/>
      <c r="J28" s="27"/>
      <c r="K28" s="27"/>
      <c r="L28" s="27"/>
      <c r="M28" s="27"/>
      <c r="N28" s="28"/>
      <c r="O28" s="29" t="str">
        <f aca="false">IF(N(F28)&gt;0,(N(I28)+N(J28)+N(K28)+N(L28))/F28,"")</f>
        <v/>
      </c>
      <c r="P28" s="17"/>
    </row>
    <row r="29" customFormat="false" ht="15" hidden="false" customHeight="false" outlineLevel="0" collapsed="false">
      <c r="A29" s="26" t="n">
        <f aca="false">Calendario!C29</f>
        <v>46320.4375</v>
      </c>
      <c r="B29" s="11" t="str">
        <f aca="false">Calendario!E29</f>
        <v>TikTok</v>
      </c>
      <c r="C29" s="11" t="str">
        <f aca="false">Calendario!F29</f>
        <v>ep_20261015_context_window</v>
      </c>
      <c r="D29" s="11" t="str">
        <f aca="false">Calendario!O29</f>
        <v>Pendiente</v>
      </c>
      <c r="E29" s="27"/>
      <c r="F29" s="27"/>
      <c r="G29" s="28"/>
      <c r="H29" s="27"/>
      <c r="I29" s="27"/>
      <c r="J29" s="27"/>
      <c r="K29" s="27"/>
      <c r="L29" s="27"/>
      <c r="M29" s="27"/>
      <c r="N29" s="28"/>
      <c r="O29" s="29" t="str">
        <f aca="false">IF(N(F29)&gt;0,(N(I29)+N(J29)+N(K29)+N(L29))/F29,"")</f>
        <v/>
      </c>
      <c r="P29" s="17"/>
    </row>
    <row r="30" customFormat="false" ht="15" hidden="false" customHeight="false" outlineLevel="0" collapsed="false">
      <c r="A30" s="26" t="n">
        <f aca="false">Calendario!C30</f>
        <v>46321.5416666667</v>
      </c>
      <c r="B30" s="11" t="str">
        <f aca="false">Calendario!E30</f>
        <v>Instagram Reels</v>
      </c>
      <c r="C30" s="11" t="str">
        <f aca="false">Calendario!F30</f>
        <v>ep_20261015_context_window</v>
      </c>
      <c r="D30" s="11" t="str">
        <f aca="false">Calendario!O30</f>
        <v>Pendiente</v>
      </c>
      <c r="E30" s="27"/>
      <c r="F30" s="27"/>
      <c r="G30" s="28"/>
      <c r="H30" s="27"/>
      <c r="I30" s="27"/>
      <c r="J30" s="27"/>
      <c r="K30" s="27"/>
      <c r="L30" s="27"/>
      <c r="M30" s="27"/>
      <c r="N30" s="28"/>
      <c r="O30" s="29" t="str">
        <f aca="false">IF(N(F30)&gt;0,(N(I30)+N(J30)+N(K30)+N(L30))/F30,"")</f>
        <v/>
      </c>
      <c r="P30" s="17"/>
    </row>
    <row r="31" customFormat="false" ht="15" hidden="false" customHeight="false" outlineLevel="0" collapsed="false">
      <c r="A31" s="26" t="n">
        <f aca="false">Calendario!C31</f>
        <v>46322.5416666667</v>
      </c>
      <c r="B31" s="11" t="str">
        <f aca="false">Calendario!E31</f>
        <v>TikTok</v>
      </c>
      <c r="C31" s="11" t="str">
        <f aca="false">Calendario!F31</f>
        <v>ep_20261022_vocaloid_tech</v>
      </c>
      <c r="D31" s="11" t="str">
        <f aca="false">Calendario!O31</f>
        <v>Pendiente</v>
      </c>
      <c r="E31" s="27"/>
      <c r="F31" s="27"/>
      <c r="G31" s="28"/>
      <c r="H31" s="27"/>
      <c r="I31" s="27"/>
      <c r="J31" s="27"/>
      <c r="K31" s="27"/>
      <c r="L31" s="27"/>
      <c r="M31" s="27"/>
      <c r="N31" s="28"/>
      <c r="O31" s="29" t="str">
        <f aca="false">IF(N(F31)&gt;0,(N(I31)+N(J31)+N(K31)+N(L31))/F31,"")</f>
        <v/>
      </c>
      <c r="P31" s="17"/>
    </row>
    <row r="32" customFormat="false" ht="15" hidden="false" customHeight="false" outlineLevel="0" collapsed="false">
      <c r="A32" s="26" t="n">
        <f aca="false">Calendario!C32</f>
        <v>46323.5416666667</v>
      </c>
      <c r="B32" s="11" t="str">
        <f aca="false">Calendario!E32</f>
        <v>Instagram Reels</v>
      </c>
      <c r="C32" s="11" t="str">
        <f aca="false">Calendario!F32</f>
        <v>ep_20261022_vocaloid_tech</v>
      </c>
      <c r="D32" s="11" t="str">
        <f aca="false">Calendario!O32</f>
        <v>Pendiente</v>
      </c>
      <c r="E32" s="27"/>
      <c r="F32" s="27"/>
      <c r="G32" s="28"/>
      <c r="H32" s="27"/>
      <c r="I32" s="27"/>
      <c r="J32" s="27"/>
      <c r="K32" s="27"/>
      <c r="L32" s="27"/>
      <c r="M32" s="27"/>
      <c r="N32" s="28"/>
      <c r="O32" s="29" t="str">
        <f aca="false">IF(N(F32)&gt;0,(N(I32)+N(J32)+N(K32)+N(L32))/F32,"")</f>
        <v/>
      </c>
      <c r="P32" s="17"/>
    </row>
    <row r="33" customFormat="false" ht="15" hidden="false" customHeight="false" outlineLevel="0" collapsed="false">
      <c r="A33" s="26" t="n">
        <f aca="false">Calendario!C33</f>
        <v>46323.7083333333</v>
      </c>
      <c r="B33" s="11" t="str">
        <f aca="false">Calendario!E33</f>
        <v>YouTube Shorts</v>
      </c>
      <c r="C33" s="11" t="str">
        <f aca="false">Calendario!F33</f>
        <v>ep_20261015_context_window</v>
      </c>
      <c r="D33" s="11" t="str">
        <f aca="false">Calendario!O33</f>
        <v>Pendiente</v>
      </c>
      <c r="E33" s="27"/>
      <c r="F33" s="27"/>
      <c r="G33" s="28"/>
      <c r="H33" s="27"/>
      <c r="I33" s="27"/>
      <c r="J33" s="27"/>
      <c r="K33" s="27"/>
      <c r="L33" s="27"/>
      <c r="M33" s="27"/>
      <c r="N33" s="28"/>
      <c r="O33" s="29" t="str">
        <f aca="false">IF(N(F33)&gt;0,(N(I33)+N(J33)+N(K33)+N(L33))/F33,"")</f>
        <v/>
      </c>
      <c r="P33" s="17"/>
    </row>
    <row r="34" customFormat="false" ht="15" hidden="false" customHeight="false" outlineLevel="0" collapsed="false">
      <c r="A34" s="26" t="n">
        <f aca="false">Calendario!C34</f>
        <v>46324.5416666667</v>
      </c>
      <c r="B34" s="11" t="str">
        <f aca="false">Calendario!E34</f>
        <v>TikTok</v>
      </c>
      <c r="C34" s="11" t="str">
        <f aca="false">Calendario!F34</f>
        <v>ep_20261022_docker</v>
      </c>
      <c r="D34" s="11" t="str">
        <f aca="false">Calendario!O34</f>
        <v>Pendiente</v>
      </c>
      <c r="E34" s="27"/>
      <c r="F34" s="27"/>
      <c r="G34" s="28"/>
      <c r="H34" s="27"/>
      <c r="I34" s="27"/>
      <c r="J34" s="27"/>
      <c r="K34" s="27"/>
      <c r="L34" s="27"/>
      <c r="M34" s="27"/>
      <c r="N34" s="28"/>
      <c r="O34" s="29" t="str">
        <f aca="false">IF(N(F34)&gt;0,(N(I34)+N(J34)+N(K34)+N(L34))/F34,"")</f>
        <v/>
      </c>
      <c r="P34" s="17"/>
    </row>
    <row r="35" customFormat="false" ht="15" hidden="false" customHeight="false" outlineLevel="0" collapsed="false">
      <c r="A35" s="26" t="n">
        <f aca="false">Calendario!C35</f>
        <v>46325.5416666667</v>
      </c>
      <c r="B35" s="11" t="str">
        <f aca="false">Calendario!E35</f>
        <v>Instagram Reels</v>
      </c>
      <c r="C35" s="11" t="str">
        <f aca="false">Calendario!F35</f>
        <v>ep_20261022_docker</v>
      </c>
      <c r="D35" s="11" t="str">
        <f aca="false">Calendario!O35</f>
        <v>Pendiente</v>
      </c>
      <c r="E35" s="27"/>
      <c r="F35" s="27"/>
      <c r="G35" s="28"/>
      <c r="H35" s="27"/>
      <c r="I35" s="27"/>
      <c r="J35" s="27"/>
      <c r="K35" s="27"/>
      <c r="L35" s="27"/>
      <c r="M35" s="27"/>
      <c r="N35" s="28"/>
      <c r="O35" s="29" t="str">
        <f aca="false">IF(N(F35)&gt;0,(N(I35)+N(J35)+N(K35)+N(L35))/F35,"")</f>
        <v/>
      </c>
      <c r="P35" s="17"/>
    </row>
    <row r="36" customFormat="false" ht="15" hidden="false" customHeight="false" outlineLevel="0" collapsed="false">
      <c r="A36" s="26" t="n">
        <f aca="false">Calendario!C36</f>
        <v>46325.7083333333</v>
      </c>
      <c r="B36" s="11" t="str">
        <f aca="false">Calendario!E36</f>
        <v>YouTube Shorts</v>
      </c>
      <c r="C36" s="11" t="str">
        <f aca="false">Calendario!F36</f>
        <v>ep_20261022_vocaloid_tech</v>
      </c>
      <c r="D36" s="11" t="str">
        <f aca="false">Calendario!O36</f>
        <v>Pendiente</v>
      </c>
      <c r="E36" s="27"/>
      <c r="F36" s="27"/>
      <c r="G36" s="28"/>
      <c r="H36" s="27"/>
      <c r="I36" s="27"/>
      <c r="J36" s="27"/>
      <c r="K36" s="27"/>
      <c r="L36" s="27"/>
      <c r="M36" s="27"/>
      <c r="N36" s="28"/>
      <c r="O36" s="29" t="str">
        <f aca="false">IF(N(F36)&gt;0,(N(I36)+N(J36)+N(K36)+N(L36))/F36,"")</f>
        <v/>
      </c>
      <c r="P36" s="17"/>
    </row>
    <row r="37" customFormat="false" ht="15" hidden="false" customHeight="false" outlineLevel="0" collapsed="false">
      <c r="A37" s="26" t="n">
        <f aca="false">Calendario!C37</f>
        <v>46326.7083333333</v>
      </c>
      <c r="B37" s="11" t="str">
        <f aca="false">Calendario!E37</f>
        <v>YouTube Shorts</v>
      </c>
      <c r="C37" s="11" t="str">
        <f aca="false">Calendario!F37</f>
        <v>ep_20261022_docker</v>
      </c>
      <c r="D37" s="11" t="str">
        <f aca="false">Calendario!O37</f>
        <v>Pendiente</v>
      </c>
      <c r="E37" s="27"/>
      <c r="F37" s="27"/>
      <c r="G37" s="28"/>
      <c r="H37" s="27"/>
      <c r="I37" s="27"/>
      <c r="J37" s="27"/>
      <c r="K37" s="27"/>
      <c r="L37" s="27"/>
      <c r="M37" s="27"/>
      <c r="N37" s="28"/>
      <c r="O37" s="29" t="str">
        <f aca="false">IF(N(F37)&gt;0,(N(I37)+N(J37)+N(K37)+N(L37))/F37,"")</f>
        <v/>
      </c>
      <c r="P37" s="17"/>
    </row>
    <row r="38" customFormat="false" ht="15" hidden="false" customHeight="false" outlineLevel="0" collapsed="false">
      <c r="A38" s="26" t="n">
        <f aca="false">Calendario!C38</f>
        <v>46327.4375</v>
      </c>
      <c r="B38" s="11" t="str">
        <f aca="false">Calendario!E38</f>
        <v>TikTok</v>
      </c>
      <c r="C38" s="11" t="str">
        <f aca="false">Calendario!F38</f>
        <v>ep_20261022_left_pad</v>
      </c>
      <c r="D38" s="11" t="str">
        <f aca="false">Calendario!O38</f>
        <v>Pendiente</v>
      </c>
      <c r="E38" s="27"/>
      <c r="F38" s="27"/>
      <c r="G38" s="28"/>
      <c r="H38" s="27"/>
      <c r="I38" s="27"/>
      <c r="J38" s="27"/>
      <c r="K38" s="27"/>
      <c r="L38" s="27"/>
      <c r="M38" s="27"/>
      <c r="N38" s="28"/>
      <c r="O38" s="29" t="str">
        <f aca="false">IF(N(F38)&gt;0,(N(I38)+N(J38)+N(K38)+N(L38))/F38,"")</f>
        <v/>
      </c>
      <c r="P38" s="17"/>
    </row>
    <row r="39" customFormat="false" ht="15" hidden="false" customHeight="false" outlineLevel="0" collapsed="false">
      <c r="A39" s="26" t="n">
        <f aca="false">Calendario!C39</f>
        <v>46328.5416666667</v>
      </c>
      <c r="B39" s="11" t="str">
        <f aca="false">Calendario!E39</f>
        <v>Instagram Reels</v>
      </c>
      <c r="C39" s="11" t="str">
        <f aca="false">Calendario!F39</f>
        <v>ep_20261022_left_pad</v>
      </c>
      <c r="D39" s="11" t="str">
        <f aca="false">Calendario!O39</f>
        <v>Pendiente</v>
      </c>
      <c r="E39" s="27"/>
      <c r="F39" s="27"/>
      <c r="G39" s="28"/>
      <c r="H39" s="27"/>
      <c r="I39" s="27"/>
      <c r="J39" s="27"/>
      <c r="K39" s="27"/>
      <c r="L39" s="27"/>
      <c r="M39" s="27"/>
      <c r="N39" s="28"/>
      <c r="O39" s="29" t="str">
        <f aca="false">IF(N(F39)&gt;0,(N(I39)+N(J39)+N(K39)+N(L39))/F39,"")</f>
        <v/>
      </c>
      <c r="P39" s="17"/>
    </row>
    <row r="40" customFormat="false" ht="15" hidden="false" customHeight="false" outlineLevel="0" collapsed="false">
      <c r="A40" s="26" t="n">
        <f aca="false">Calendario!C40</f>
        <v>46330.7083333333</v>
      </c>
      <c r="B40" s="11" t="str">
        <f aca="false">Calendario!E40</f>
        <v>YouTube Shorts</v>
      </c>
      <c r="C40" s="11" t="str">
        <f aca="false">Calendario!F40</f>
        <v>ep_20261022_left_pad</v>
      </c>
      <c r="D40" s="11" t="str">
        <f aca="false">Calendario!O40</f>
        <v>Pendiente</v>
      </c>
      <c r="E40" s="27"/>
      <c r="F40" s="27"/>
      <c r="G40" s="28"/>
      <c r="H40" s="27"/>
      <c r="I40" s="27"/>
      <c r="J40" s="27"/>
      <c r="K40" s="27"/>
      <c r="L40" s="27"/>
      <c r="M40" s="27"/>
      <c r="N40" s="28"/>
      <c r="O40" s="29" t="str">
        <f aca="false">IF(N(F40)&gt;0,(N(I40)+N(J40)+N(K40)+N(L40))/F40,"")</f>
        <v/>
      </c>
      <c r="P40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0"/>
    <col collapsed="false" customWidth="true" hidden="false" outlineLevel="0" max="5" min="3" style="0" width="22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42" hidden="false" customHeight="true" outlineLevel="0" collapsed="false">
      <c r="A4" s="7"/>
      <c r="B4" s="7" t="s">
        <v>18</v>
      </c>
      <c r="C4" s="7" t="s">
        <v>55</v>
      </c>
      <c r="D4" s="7" t="s">
        <v>61</v>
      </c>
      <c r="E4" s="7" t="s">
        <v>64</v>
      </c>
    </row>
    <row r="5" customFormat="false" ht="15" hidden="false" customHeight="false" outlineLevel="0" collapsed="false">
      <c r="B5" s="8" t="s">
        <v>22</v>
      </c>
      <c r="C5" s="9" t="s">
        <v>23</v>
      </c>
      <c r="D5" s="9" t="s">
        <v>24</v>
      </c>
      <c r="E5" s="9" t="s">
        <v>25</v>
      </c>
    </row>
    <row r="6" customFormat="false" ht="15" hidden="false" customHeight="false" outlineLevel="0" collapsed="false">
      <c r="B6" s="8" t="s">
        <v>26</v>
      </c>
      <c r="C6" s="9" t="s">
        <v>27</v>
      </c>
      <c r="D6" s="9" t="s">
        <v>28</v>
      </c>
      <c r="E6" s="9" t="s">
        <v>29</v>
      </c>
    </row>
    <row r="7" customFormat="false" ht="15" hidden="false" customHeight="false" outlineLevel="0" collapsed="false">
      <c r="B7" s="8" t="s">
        <v>30</v>
      </c>
      <c r="C7" s="9" t="s">
        <v>31</v>
      </c>
      <c r="D7" s="9" t="s">
        <v>32</v>
      </c>
      <c r="E7" s="9" t="s">
        <v>33</v>
      </c>
    </row>
    <row r="8" customFormat="false" ht="15" hidden="false" customHeight="false" outlineLevel="0" collapsed="false">
      <c r="B8" s="2" t="s">
        <v>159</v>
      </c>
    </row>
    <row r="10" customFormat="false" ht="42" hidden="false" customHeight="true" outlineLevel="0" collapsed="false">
      <c r="A10" s="7"/>
      <c r="B10" s="7" t="s">
        <v>160</v>
      </c>
      <c r="C10" s="7" t="s">
        <v>161</v>
      </c>
    </row>
    <row r="11" customFormat="false" ht="15" hidden="false" customHeight="false" outlineLevel="0" collapsed="false">
      <c r="B11" s="5" t="s">
        <v>162</v>
      </c>
      <c r="C11" s="30" t="n">
        <v>24</v>
      </c>
    </row>
    <row r="12" customFormat="false" ht="15" hidden="false" customHeight="false" outlineLevel="0" collapsed="false">
      <c r="B12" s="5" t="s">
        <v>163</v>
      </c>
      <c r="C12" s="30" t="n">
        <v>12</v>
      </c>
    </row>
    <row r="13" customFormat="false" ht="15" hidden="false" customHeight="false" outlineLevel="0" collapsed="false">
      <c r="B13" s="5" t="s">
        <v>164</v>
      </c>
      <c r="C13" s="30" t="n">
        <v>48</v>
      </c>
    </row>
    <row r="14" customFormat="false" ht="15" hidden="false" customHeight="false" outlineLevel="0" collapsed="false">
      <c r="B14" s="5" t="s">
        <v>165</v>
      </c>
      <c r="C14" s="30" t="n">
        <v>36</v>
      </c>
    </row>
    <row r="15" customFormat="false" ht="15" hidden="false" customHeight="false" outlineLevel="0" collapsed="false">
      <c r="B15" s="5" t="s">
        <v>166</v>
      </c>
      <c r="C15" s="30" t="n">
        <v>96</v>
      </c>
    </row>
    <row r="17" customFormat="false" ht="42" hidden="false" customHeight="true" outlineLevel="0" collapsed="false">
      <c r="A17" s="7"/>
      <c r="B17" s="7" t="s">
        <v>167</v>
      </c>
      <c r="C17" s="7" t="s">
        <v>168</v>
      </c>
    </row>
    <row r="18" customFormat="false" ht="15" hidden="false" customHeight="false" outlineLevel="0" collapsed="false">
      <c r="B18" s="5" t="s">
        <v>169</v>
      </c>
      <c r="C18" s="30" t="n">
        <v>4</v>
      </c>
    </row>
    <row r="19" customFormat="false" ht="15" hidden="false" customHeight="false" outlineLevel="0" collapsed="false">
      <c r="B19" s="5" t="s">
        <v>170</v>
      </c>
      <c r="C19" s="30" t="n">
        <v>3</v>
      </c>
    </row>
    <row r="20" customFormat="false" ht="15" hidden="false" customHeight="false" outlineLevel="0" collapsed="false">
      <c r="B20" s="5" t="s">
        <v>171</v>
      </c>
      <c r="C20" s="30" t="n">
        <v>2</v>
      </c>
    </row>
    <row r="21" customFormat="false" ht="15" hidden="false" customHeight="false" outlineLevel="0" collapsed="false">
      <c r="B21" s="5" t="s">
        <v>172</v>
      </c>
      <c r="C21" s="30" t="n">
        <v>1</v>
      </c>
    </row>
    <row r="22" customFormat="false" ht="15" hidden="false" customHeight="false" outlineLevel="0" collapsed="false">
      <c r="B22" s="5" t="s">
        <v>173</v>
      </c>
      <c r="C22" s="30" t="n">
        <v>-2</v>
      </c>
    </row>
    <row r="24" customFormat="false" ht="15" hidden="false" customHeight="false" outlineLevel="0" collapsed="false">
      <c r="B24" s="4" t="s">
        <v>174</v>
      </c>
    </row>
    <row r="25" customFormat="false" ht="15" hidden="false" customHeight="false" outlineLevel="0" collapsed="false">
      <c r="B25" s="5" t="s">
        <v>175</v>
      </c>
    </row>
    <row r="26" customFormat="false" ht="15" hidden="false" customHeight="false" outlineLevel="0" collapsed="false">
      <c r="B26" s="5" t="s">
        <v>176</v>
      </c>
    </row>
    <row r="27" customFormat="false" ht="15" hidden="false" customHeight="false" outlineLevel="0" collapsed="false">
      <c r="B27" s="5" t="s">
        <v>177</v>
      </c>
    </row>
    <row r="28" customFormat="false" ht="15" hidden="false" customHeight="false" outlineLevel="0" collapsed="false">
      <c r="B28" s="5" t="s">
        <v>178</v>
      </c>
    </row>
    <row r="29" customFormat="false" ht="15" hidden="false" customHeight="false" outlineLevel="0" collapsed="false">
      <c r="B29" s="5" t="s">
        <v>179</v>
      </c>
    </row>
    <row r="30" customFormat="false" ht="15" hidden="false" customHeight="false" outlineLevel="0" collapsed="false">
      <c r="B30" s="5" t="s">
        <v>180</v>
      </c>
    </row>
    <row r="31" customFormat="false" ht="15" hidden="false" customHeight="false" outlineLevel="0" collapsed="false">
      <c r="B31" s="5" t="s">
        <v>181</v>
      </c>
    </row>
    <row r="32" customFormat="false" ht="15" hidden="false" customHeight="false" outlineLevel="0" collapsed="false">
      <c r="B32" s="5" t="s">
        <v>182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2026-10-02T19:32:51Z</dcterms:created>
  <dc:creator>short-video-engine (npm run planilla)</dc:creator>
  <dc:description/>
  <dc:language>en-US</dc:language>
  <cp:lastModifiedBy>Unknown</cp:lastModifiedBy>
  <dcterms:modified xsi:type="dcterms:W3CDTF">2026-10-02T19:32:51Z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